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orque Plan Summary · Scenario" sheetId="1" r:id="rId1"/>
    <sheet name="Monthly Financial Plan · Torque" sheetId="2" r:id="rId2"/>
    <sheet name="Unit Economics &amp; Sensitivity ·" sheetId="3" r:id="rId3"/>
    <sheet name="Unit Economics &amp; Sensitivit (2)" sheetId="4" r:id="rId4"/>
    <sheet name="Torque Assumptions · Tier prici" sheetId="5" r:id="rId5"/>
    <sheet name="Torque Assumptions · Run cost a" sheetId="6" r:id="rId6"/>
    <sheet name="Torque Assumptions · Growth &amp; o" sheetId="7" r:id="rId7"/>
    <sheet name="Model inputs" sheetId="8" r:id="rId8"/>
  </sheets>
  <calcPr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#,##0.###;(#,##0.###)"/>
    <numFmt numFmtId="165" formatCode="#,##0.0;(#,##0.0)"/>
    <numFmt numFmtId="166" formatCode="#,##0;(#,##0)"/>
    <numFmt numFmtId="167" formatCode="&quot;$&quot;#,##0;(&quot;$&quot;#,##0)"/>
    <numFmt numFmtId="168" formatCode="0.0%"/>
    <numFmt numFmtId="169" formatCode="&quot;$&quot;#,##0.000;(&quot;$&quot;#,##0.000)"/>
    <numFmt numFmtId="170" formatCode="#,##0.00;(#,##0.00)"/>
    <numFmt numFmtId="171" formatCode="&quot;$&quot;#,##0.00;(&quot;$&quot;#,##0.00)"/>
    <numFmt numFmtId="172" formatCode="0.00&quot;x&quot;"/>
    <numFmt numFmtId="173" formatCode="0%"/>
    <numFmt numFmtId="174" formatCode="&quot;$&quot;#,##0.0000;(&quot;$&quot;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0" borderId="0" xfId="0" applyFont="1" applyAlignment="1">
      <alignment vertical="center" horizontal="left" indent="1"/>
    </xf>
    <xf numFmtId="165" fontId="3" fillId="0" borderId="0" xfId="0" applyNumberFormat="1" applyFont="1" applyAlignment="1">
      <alignment vertical="center" horizontal="right"/>
    </xf>
    <xf numFmtId="0" fontId="0" fillId="0" borderId="0" xfId="0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7" fontId="3" fillId="0" borderId="0" xfId="0" applyNumberFormat="1" applyFon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3" fillId="0" borderId="0" xfId="0" applyNumberFormat="1" applyFon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166" fontId="3" fillId="0" borderId="0" xfId="0" applyNumberFormat="1" applyFont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173" fontId="3" fillId="4" borderId="1" xfId="0" applyNumberFormat="1" applyFill="1" applyFont="1" applyBorder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72" fontId="0" fillId="0" borderId="0" xfId="0" applyNumberFormat="1" applyAlignment="1">
      <alignment vertical="center" horizontal="right"/>
    </xf>
    <xf numFmtId="173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4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Torque Plan Summary · Scenario comparison: month 12 (Sep 2027)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2027-09</t>
        </is>
      </c>
      <c r="C4" t="inlineStr" s="4">
        <is>
          <t xml:space="preserve">2027-09 &gt; Conservative</t>
        </is>
      </c>
      <c r="D4" t="inlineStr" s="4">
        <is>
          <t xml:space="preserve">2027-09 &gt; Optimistic</t>
        </is>
      </c>
    </row>
    <row r="5">
      <c r="A5" t="inlineStr" s="5">
        <is>
          <t xml:space="preserve">Paying customers</t>
        </is>
      </c>
      <c r="B5" s="6">
        <f>SUM('Monthly Financial Plan · Torque'!M7,'Monthly Financial Plan · Torque'!M8,'Monthly Financial Plan · Torque'!M9)</f>
        <v>135.78620418189854</v>
      </c>
      <c r="C5" s="6">
        <f>SUM('Model inputs'!P85,'Model inputs'!P86,'Model inputs'!P87)</f>
        <v>31.047134495734607</v>
      </c>
      <c r="D5" s="6">
        <f>SUM('Model inputs'!P81,'Model inputs'!P82,'Model inputs'!P83)</f>
        <v>375.68725878475533</v>
      </c>
    </row>
    <row r="6">
      <c r="A6" t="inlineStr" s="7">
        <is>
          <t xml:space="preserve">Verified pull requests</t>
        </is>
      </c>
      <c r="B6" s="8">
        <f>SUM('Monthly Financial Plan · Torque'!M15,'Monthly Financial Plan · Torque'!M16,'Monthly Financial Plan · Torque'!M17)*'Torque Assumptions · Run cost a'!B17</f>
        <v>3964.373639357864</v>
      </c>
      <c r="C6" s="8">
        <f>SUM('Model inputs'!P34,'Model inputs'!P35,'Model inputs'!P36)*'Model inputs'!B125</f>
        <v>868.6719744715688</v>
      </c>
      <c r="D6" s="8">
        <f>SUM('Model inputs'!P30,'Model inputs'!P31,'Model inputs'!P32)*'Model inputs'!B124</f>
        <v>10720.106504560967</v>
      </c>
    </row>
    <row r="7">
      <c r="A7" t="inlineStr" s="7">
        <is>
          <t xml:space="preserve">Total revenue</t>
        </is>
      </c>
      <c r="B7" s="8">
        <f>SUM('Monthly Financial Plan · Torque'!M20,'Monthly Financial Plan · Torque'!M21,'Monthly Financial Plan · Torque'!M22)+SUM('Monthly Financial Plan · Torque'!M24,'Monthly Financial Plan · Torque'!M25,'Monthly Financial Plan · Torque'!M26)</f>
        <v>16691.007372929802</v>
      </c>
      <c r="C7" s="8">
        <f>SUM('Model inputs'!P109,'Model inputs'!P110,'Model inputs'!P111)+SUM('Model inputs'!P73,'Model inputs'!P74,'Model inputs'!P75)</f>
        <v>3955.545732217075</v>
      </c>
      <c r="D7" s="8">
        <f>SUM('Model inputs'!P105,'Model inputs'!P106,'Model inputs'!P107)+SUM('Model inputs'!P69,'Model inputs'!P70,'Model inputs'!P71)</f>
        <v>45459.54853414088</v>
      </c>
    </row>
    <row r="8">
      <c r="A8" t="inlineStr" s="7">
        <is>
          <t xml:space="preserve">Cost of revenue</t>
        </is>
      </c>
      <c r="B8" s="8">
        <f>'Monthly Financial Plan · Torque'!M28+'Monthly Financial Plan · Torque'!M29+'Monthly Financial Plan · Torque'!M30+'Monthly Financial Plan · Torque'!M31+'Monthly Financial Plan · Torque'!M32+'Monthly Financial Plan · Torque'!M33</f>
        <v>7797.433047115831</v>
      </c>
      <c r="C8" s="8">
        <f>'Model inputs'!P39+'Model inputs'!P93+'Model inputs'!P62+'Model inputs'!P99+'Model inputs'!P24+'Model inputs'!P90</f>
        <v>3009.3764950857108</v>
      </c>
      <c r="D8" s="8">
        <f>'Model inputs'!P38+'Model inputs'!P92+'Model inputs'!P61+'Model inputs'!P98+'Model inputs'!P23+'Model inputs'!P89</f>
        <v>15195.568345917942</v>
      </c>
    </row>
    <row r="9">
      <c r="A9" t="inlineStr" s="7">
        <is>
          <t xml:space="preserve">Gross margin before credits</t>
        </is>
      </c>
      <c r="B9" s="8">
        <f>IFERROR('Monthly Financial Plan · Torque'!M35/'Torque Plan Summary · Scenario'!B7,"")</f>
        <v>0.5328362828619891</v>
      </c>
      <c r="C9" s="8">
        <f>IFERROR('Model inputs'!P19/'Torque Plan Summary · Scenario'!C7,"")</f>
        <v>0.23920068207656353</v>
      </c>
      <c r="D9" s="8">
        <f>IFERROR('Model inputs'!P18/'Torque Plan Summary · Scenario'!D7,"")</f>
        <v>0.6657342882649656</v>
      </c>
    </row>
    <row r="10">
      <c r="A10" t="inlineStr" s="7">
        <is>
          <t xml:space="preserve">Operating expenses</t>
        </is>
      </c>
      <c r="B10" s="8">
        <f>'Monthly Financial Plan · Torque'!M41+'Monthly Financial Plan · Torque'!M42+'Monthly Financial Plan · Torque'!M43</f>
        <v>700</v>
      </c>
      <c r="C10" s="8">
        <f>'Model inputs'!P118+'Model inputs'!P96+'Model inputs'!P42</f>
        <v>700</v>
      </c>
      <c r="D10" s="8">
        <f>'Model inputs'!P117+'Model inputs'!P95+'Model inputs'!P41</f>
        <v>700</v>
      </c>
    </row>
    <row r="11">
      <c r="A11" t="inlineStr" s="7">
        <is>
          <t xml:space="preserve">Net cash flow before credits</t>
        </is>
      </c>
      <c r="B11" s="8">
        <f>'Monthly Financial Plan · Torque'!M35-'Torque Plan Summary · Scenario'!B10</f>
        <v>8193.57432581397</v>
      </c>
      <c r="C11" s="8">
        <f>'Model inputs'!P19-'Torque Plan Summary · Scenario'!C10</f>
        <v>246.1692371313643</v>
      </c>
      <c r="D11" s="8">
        <f>'Model inputs'!P18-'Torque Plan Summary · Scenario'!D10</f>
        <v>29563.980188222937</v>
      </c>
    </row>
    <row r="12">
      <c r="A12" t="inlineStr" s="5">
        <is>
          <t xml:space="preserve">AI spend limit at target margin</t>
        </is>
      </c>
      <c r="B12" s="6">
        <f>'Torque Plan Summary · Scenario'!B7*(1-'Torque Assumptions · Growth &amp; o'!B12)-'Monthly Financial Plan · Torque'!M32-'Monthly Financial Plan · Torque'!M33-'Monthly Financial Plan · Torque'!M30-'Monthly Financial Plan · Torque'!M31</f>
        <v>5001.8952704826515</v>
      </c>
      <c r="C12" s="6">
        <f>'Torque Plan Summary · Scenario'!C7*(1-'Model inputs'!B115)-'Model inputs'!P24-'Model inputs'!P90-'Model inputs'!P62-'Model inputs'!P99</f>
        <v>1062.1564855556512</v>
      </c>
      <c r="D12" s="6">
        <f>'Torque Plan Summary · Scenario'!D7*(1-'Model inputs'!B114)-'Model inputs'!P23-'Model inputs'!P89-'Model inputs'!P61-'Model inputs'!P98</f>
        <v>13946.947955232332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M5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Monthly Financial Plan · Torque monthly financial plan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9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9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9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9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New customers</t>
        </is>
      </c>
      <c r="B5" s="10">
        <f>'Torque Assumptions · Growth &amp; o'!B5*IF(AND((1+'Torque Assumptions · Growth &amp; o'!B6)=0,DATEDIF(DATE(2026,10,1),DATE(2026,10,1),"M")=0),SQRT(-1),(1+'Torque Assumptions · Growth &amp; o'!B6)^DATEDIF(DATE(2026,10,1),DATE(2026,10,1),"M"))</f>
        <v>3</v>
      </c>
      <c r="C5" s="10">
        <f>'Torque Assumptions · Growth &amp; o'!B5*IF(AND((1+'Torque Assumptions · Growth &amp; o'!B6)=0,DATEDIF(DATE(2026,10,1),DATE(2026,11,1),"M")=0),SQRT(-1),(1+'Torque Assumptions · Growth &amp; o'!B6)^DATEDIF(DATE(2026,10,1),DATE(2026,11,1),"M"))</f>
        <v>3.75</v>
      </c>
      <c r="D5" s="10">
        <f>'Torque Assumptions · Growth &amp; o'!B5*IF(AND((1+'Torque Assumptions · Growth &amp; o'!B6)=0,DATEDIF(DATE(2026,10,1),DATE(2026,12,1),"M")=0),SQRT(-1),(1+'Torque Assumptions · Growth &amp; o'!B6)^DATEDIF(DATE(2026,10,1),DATE(2026,12,1),"M"))</f>
        <v>4.6875</v>
      </c>
      <c r="E5" s="10">
        <f>'Torque Assumptions · Growth &amp; o'!B5*IF(AND((1+'Torque Assumptions · Growth &amp; o'!B6)=0,DATEDIF(DATE(2026,10,1),DATE(2027,1,1),"M")=0),SQRT(-1),(1+'Torque Assumptions · Growth &amp; o'!B6)^DATEDIF(DATE(2026,10,1),DATE(2027,1,1),"M"))</f>
        <v>5.859375</v>
      </c>
      <c r="F5" s="10">
        <f>'Torque Assumptions · Growth &amp; o'!B5*IF(AND((1+'Torque Assumptions · Growth &amp; o'!B6)=0,DATEDIF(DATE(2026,10,1),DATE(2027,2,1),"M")=0),SQRT(-1),(1+'Torque Assumptions · Growth &amp; o'!B6)^DATEDIF(DATE(2026,10,1),DATE(2027,2,1),"M"))</f>
        <v>7.32421875</v>
      </c>
      <c r="G5" s="10">
        <f>'Torque Assumptions · Growth &amp; o'!B5*IF(AND((1+'Torque Assumptions · Growth &amp; o'!B6)=0,DATEDIF(DATE(2026,10,1),DATE(2027,3,1),"M")=0),SQRT(-1),(1+'Torque Assumptions · Growth &amp; o'!B6)^DATEDIF(DATE(2026,10,1),DATE(2027,3,1),"M"))</f>
        <v>9.1552734375</v>
      </c>
      <c r="H5" s="10">
        <f>'Torque Assumptions · Growth &amp; o'!B5*IF(AND((1+'Torque Assumptions · Growth &amp; o'!B6)=0,DATEDIF(DATE(2026,10,1),DATE(2027,4,1),"M")=0),SQRT(-1),(1+'Torque Assumptions · Growth &amp; o'!B6)^DATEDIF(DATE(2026,10,1),DATE(2027,4,1),"M"))</f>
        <v>11.444091796875</v>
      </c>
      <c r="I5" s="10">
        <f>'Torque Assumptions · Growth &amp; o'!B5*IF(AND((1+'Torque Assumptions · Growth &amp; o'!B6)=0,DATEDIF(DATE(2026,10,1),DATE(2027,5,1),"M")=0),SQRT(-1),(1+'Torque Assumptions · Growth &amp; o'!B6)^DATEDIF(DATE(2026,10,1),DATE(2027,5,1),"M"))</f>
        <v>14.30511474609375</v>
      </c>
      <c r="J5" s="10">
        <f>'Torque Assumptions · Growth &amp; o'!B5*IF(AND((1+'Torque Assumptions · Growth &amp; o'!B6)=0,DATEDIF(DATE(2026,10,1),DATE(2027,6,1),"M")=0),SQRT(-1),(1+'Torque Assumptions · Growth &amp; o'!B6)^DATEDIF(DATE(2026,10,1),DATE(2027,6,1),"M"))</f>
        <v>17.881393432617188</v>
      </c>
      <c r="K5" s="10">
        <f>'Torque Assumptions · Growth &amp; o'!B5*IF(AND((1+'Torque Assumptions · Growth &amp; o'!B6)=0,DATEDIF(DATE(2026,10,1),DATE(2027,7,1),"M")=0),SQRT(-1),(1+'Torque Assumptions · Growth &amp; o'!B6)^DATEDIF(DATE(2026,10,1),DATE(2027,7,1),"M"))</f>
        <v>22.351741790771484</v>
      </c>
      <c r="L5" s="10">
        <f>'Torque Assumptions · Growth &amp; o'!B5*IF(AND((1+'Torque Assumptions · Growth &amp; o'!B6)=0,DATEDIF(DATE(2026,10,1),DATE(2027,8,1),"M")=0),SQRT(-1),(1+'Torque Assumptions · Growth &amp; o'!B6)^DATEDIF(DATE(2026,10,1),DATE(2027,8,1),"M"))</f>
        <v>27.939677238464355</v>
      </c>
      <c r="M5" s="10">
        <f>'Torque Assumptions · Growth &amp; o'!B5*IF(AND((1+'Torque Assumptions · Growth &amp; o'!B6)=0,DATEDIF(DATE(2026,10,1),DATE(2027,9,1),"M")=0),SQRT(-1),(1+'Torque Assumptions · Growth &amp; o'!B6)^DATEDIF(DATE(2026,10,1),DATE(2027,9,1),"M"))</f>
        <v>34.924596548080444</v>
      </c>
    </row>
    <row r="6">
      <c r="A6" t="inlineStr" s="5">
        <is>
          <t xml:space="preserve">Paying customers</t>
        </is>
      </c>
      <c r="B6" s="10">
        <f>SUM('Monthly Financial Plan · Torque'!B7,'Monthly Financial Plan · Torque'!B8,'Monthly Financial Plan · Torque'!B9)</f>
        <v>3</v>
      </c>
      <c r="C6" s="10">
        <f>SUM('Monthly Financial Plan · Torque'!C7,'Monthly Financial Plan · Torque'!C8,'Monthly Financial Plan · Torque'!C9)</f>
        <v>6.563999999999999</v>
      </c>
      <c r="D6" s="10">
        <f>SUM('Monthly Financial Plan · Torque'!D7,'Monthly Financial Plan · Torque'!D8,'Monthly Financial Plan · Torque'!D9)</f>
        <v>10.84563</v>
      </c>
      <c r="E6" s="10">
        <f>SUM('Monthly Financial Plan · Torque'!E7,'Monthly Financial Plan · Torque'!E8,'Monthly Financial Plan · Torque'!E9)</f>
        <v>16.036016099999998</v>
      </c>
      <c r="F6" s="10">
        <f>SUM('Monthly Financial Plan · Torque'!F7,'Monthly Financial Plan · Torque'!F8,'Monthly Financial Plan · Torque'!F9)</f>
        <v>22.373222892</v>
      </c>
      <c r="G6" s="10">
        <f>SUM('Monthly Financial Plan · Torque'!G7,'Monthly Financial Plan · Torque'!G8,'Monthly Financial Plan · Torque'!G9)</f>
        <v>30.154051195740003</v>
      </c>
      <c r="H6" s="10">
        <f>SUM('Monthly Financial Plan · Torque'!H7,'Monthly Financial Plan · Torque'!H8,'Monthly Financial Plan · Torque'!H9)</f>
        <v>39.7487803840653</v>
      </c>
      <c r="I6" s="10">
        <f>SUM('Monthly Financial Plan · Torque'!I7,'Monthly Financial Plan · Torque'!I8,'Monthly Financial Plan · Torque'!I9)</f>
        <v>51.619591822986294</v>
      </c>
      <c r="J6" s="10">
        <f>SUM('Monthly Financial Plan · Torque'!J7,'Monthly Financial Plan · Torque'!J8,'Monthly Financial Plan · Torque'!J9)</f>
        <v>66.34359405303968</v>
      </c>
      <c r="K6" s="10">
        <f>SUM('Monthly Financial Plan · Torque'!K7,'Monthly Financial Plan · Torque'!K8,'Monthly Financial Plan · Torque'!K9)</f>
        <v>84.64160046783483</v>
      </c>
      <c r="L6" s="10">
        <f>SUM('Monthly Financial Plan · Torque'!L7,'Monthly Financial Plan · Torque'!L8,'Monthly Financial Plan · Torque'!L9)</f>
        <v>107.414097909432</v>
      </c>
      <c r="M6" s="10">
        <f>SUM('Monthly Financial Plan · Torque'!M7,'Monthly Financial Plan · Torque'!M8,'Monthly Financial Plan · Torque'!M9)</f>
        <v>135.78620418189854</v>
      </c>
    </row>
    <row r="7" outlineLevel="1">
      <c r="A7" t="inlineStr" s="11">
        <is>
          <t xml:space="preserve">Maintainer</t>
        </is>
      </c>
      <c r="B7" s="12">
        <f>'Model inputs'!D77*(1-'Torque Assumptions · Tier prici'!H5)+'Monthly Financial Plan · Torque'!B5*'Torque Assumptions · Tier prici'!G5</f>
        <v>1.5</v>
      </c>
      <c r="C7" s="12">
        <f>'Monthly Financial Plan · Torque'!B7*(1-'Torque Assumptions · Tier prici'!H5)+'Monthly Financial Plan · Torque'!C5*'Torque Assumptions · Tier prici'!G5</f>
        <v>3.255</v>
      </c>
      <c r="D7" s="12">
        <f>'Monthly Financial Plan · Torque'!C7*(1-'Torque Assumptions · Tier prici'!H5)+'Monthly Financial Plan · Torque'!D5*'Torque Assumptions · Tier prici'!G5</f>
        <v>5.33835</v>
      </c>
      <c r="E7" s="12">
        <f>'Monthly Financial Plan · Torque'!D7*(1-'Torque Assumptions · Tier prici'!H5)+'Monthly Financial Plan · Torque'!E5*'Torque Assumptions · Tier prici'!G5</f>
        <v>7.8409695</v>
      </c>
      <c r="F7" s="12">
        <f>'Monthly Financial Plan · Torque'!E7*(1-'Torque Assumptions · Tier prici'!H5)+'Monthly Financial Plan · Torque'!F5*'Torque Assumptions · Tier prici'!G5</f>
        <v>10.875801315</v>
      </c>
      <c r="G7" s="12">
        <f>'Monthly Financial Plan · Torque'!F7*(1-'Torque Assumptions · Tier prici'!H5)+'Monthly Financial Plan · Torque'!G5*'Torque Assumptions · Tier prici'!G5</f>
        <v>14.583373928550001</v>
      </c>
      <c r="H7" s="12">
        <f>'Monthly Financial Plan · Torque'!G7*(1-'Torque Assumptions · Tier prici'!H5)+'Monthly Financial Plan · Torque'!H5*'Torque Assumptions · Tier prici'!G5</f>
        <v>19.138749912703503</v>
      </c>
      <c r="I7" s="12">
        <f>'Monthly Financial Plan · Torque'!H7*(1-'Torque Assumptions · Tier prici'!H5)+'Monthly Financial Plan · Torque'!I5*'Torque Assumptions · Tier prici'!G5</f>
        <v>24.760207292734098</v>
      </c>
      <c r="J7" s="12">
        <f>'Monthly Financial Plan · Torque'!I7*(1-'Torque Assumptions · Tier prici'!H5)+'Monthly Financial Plan · Torque'!J5*'Torque Assumptions · Tier prici'!G5</f>
        <v>31.720087425623966</v>
      </c>
      <c r="K7" s="12">
        <f>'Monthly Financial Plan · Torque'!J7*(1-'Torque Assumptions · Tier prici'!H5)+'Monthly Financial Plan · Torque'!K5*'Torque Assumptions · Tier prici'!G5</f>
        <v>40.35835132695979</v>
      </c>
      <c r="L7" s="12">
        <f>'Monthly Financial Plan · Torque'!K7*(1-'Torque Assumptions · Tier prici'!H5)+'Monthly Financial Plan · Torque'!L5*'Torque Assumptions · Tier prici'!G5</f>
        <v>51.09952184003519</v>
      </c>
      <c r="M7" s="12">
        <f>'Monthly Financial Plan · Torque'!L7*(1-'Torque Assumptions · Tier prici'!H5)+'Monthly Financial Plan · Torque'!M5*'Torque Assumptions · Tier prici'!G5</f>
        <v>64.4738583668726</v>
      </c>
    </row>
    <row r="8" outlineLevel="1">
      <c r="A8" t="inlineStr" s="11">
        <is>
          <t xml:space="preserve">Starter</t>
        </is>
      </c>
      <c r="B8" s="12">
        <f>'Model inputs'!D78*(1-'Torque Assumptions · Tier prici'!H6)+'Monthly Financial Plan · Torque'!B5*'Torque Assumptions · Tier prici'!G6</f>
        <v>1.0499999999999998</v>
      </c>
      <c r="C8" s="12">
        <f>'Monthly Financial Plan · Torque'!B8*(1-'Torque Assumptions · Tier prici'!H6)+'Monthly Financial Plan · Torque'!C5*'Torque Assumptions · Tier prici'!G6</f>
        <v>2.3099999999999996</v>
      </c>
      <c r="D8" s="12">
        <f>'Monthly Financial Plan · Torque'!C8*(1-'Torque Assumptions · Tier prici'!H6)+'Monthly Financial Plan · Torque'!D5*'Torque Assumptions · Tier prici'!G6</f>
        <v>3.8351249999999997</v>
      </c>
      <c r="E8" s="12">
        <f>'Monthly Financial Plan · Torque'!D8*(1-'Torque Assumptions · Tier prici'!H6)+'Monthly Financial Plan · Torque'!E5*'Torque Assumptions · Tier prici'!G6</f>
        <v>5.69415</v>
      </c>
      <c r="F8" s="12">
        <f>'Monthly Financial Plan · Torque'!E8*(1-'Torque Assumptions · Tier prici'!H6)+'Monthly Financial Plan · Torque'!F5*'Torque Assumptions · Tier prici'!G6</f>
        <v>7.972919062499999</v>
      </c>
      <c r="G8" s="12">
        <f>'Monthly Financial Plan · Torque'!F8*(1-'Torque Assumptions · Tier prici'!H6)+'Monthly Financial Plan · Torque'!G5*'Torque Assumptions · Tier prici'!G6</f>
        <v>10.7786188125</v>
      </c>
      <c r="H8" s="12">
        <f>'Monthly Financial Plan · Torque'!G8*(1-'Torque Assumptions · Tier prici'!H6)+'Monthly Financial Plan · Torque'!H5*'Torque Assumptions · Tier prici'!G6</f>
        <v>14.245120000781249</v>
      </c>
      <c r="I8" s="12">
        <f>'Monthly Financial Plan · Torque'!H8*(1-'Torque Assumptions · Tier prici'!H6)+'Monthly Financial Plan · Torque'!I5*'Torque Assumptions · Tier prici'!G6</f>
        <v>18.539654161875</v>
      </c>
      <c r="J8" s="12">
        <f>'Monthly Financial Plan · Torque'!I8*(1-'Torque Assumptions · Tier prici'!H6)+'Monthly Financial Plan · Torque'!J5*'Torque Assumptions · Tier prici'!G6</f>
        <v>23.871159155197265</v>
      </c>
      <c r="K8" s="12">
        <f>'Monthly Financial Plan · Torque'!J8*(1-'Torque Assumptions · Tier prici'!H6)+'Monthly Financial Plan · Torque'!K5*'Torque Assumptions · Tier prici'!G6</f>
        <v>30.50071082420742</v>
      </c>
      <c r="L8" s="12">
        <f>'Monthly Financial Plan · Torque'!K8*(1-'Torque Assumptions · Tier prici'!H6)+'Monthly Financial Plan · Torque'!L5*'Torque Assumptions · Tier prici'!G6</f>
        <v>38.75456231645957</v>
      </c>
      <c r="M8" s="12">
        <f>'Monthly Financial Plan · Torque'!L8*(1-'Torque Assumptions · Tier prici'!H6)+'Monthly Financial Plan · Torque'!M5*'Torque Assumptions · Tier prici'!G6</f>
        <v>49.04044299246475</v>
      </c>
    </row>
    <row r="9" outlineLevel="1">
      <c r="A9" t="inlineStr" s="11">
        <is>
          <t xml:space="preserve">Team</t>
        </is>
      </c>
      <c r="B9" s="12">
        <f>'Model inputs'!D79*(1-'Torque Assumptions · Tier prici'!H7)+'Monthly Financial Plan · Torque'!B5*'Torque Assumptions · Tier prici'!G7</f>
        <v>0.44999999999999996</v>
      </c>
      <c r="C9" s="12">
        <f>'Monthly Financial Plan · Torque'!B9*(1-'Torque Assumptions · Tier prici'!H7)+'Monthly Financial Plan · Torque'!C5*'Torque Assumptions · Tier prici'!G7</f>
        <v>0.9989999999999999</v>
      </c>
      <c r="D9" s="12">
        <f>'Monthly Financial Plan · Torque'!C9*(1-'Torque Assumptions · Tier prici'!H7)+'Monthly Financial Plan · Torque'!D5*'Torque Assumptions · Tier prici'!G7</f>
        <v>1.6721549999999998</v>
      </c>
      <c r="E9" s="12">
        <f>'Monthly Financial Plan · Torque'!D9*(1-'Torque Assumptions · Tier prici'!H7)+'Monthly Financial Plan · Torque'!E5*'Torque Assumptions · Tier prici'!G7</f>
        <v>2.5008966</v>
      </c>
      <c r="F9" s="12">
        <f>'Monthly Financial Plan · Torque'!E9*(1-'Torque Assumptions · Tier prici'!H7)+'Monthly Financial Plan · Torque'!F5*'Torque Assumptions · Tier prici'!G7</f>
        <v>3.5245025145</v>
      </c>
      <c r="G9" s="12">
        <f>'Monthly Financial Plan · Torque'!F9*(1-'Torque Assumptions · Tier prici'!H7)+'Monthly Financial Plan · Torque'!G5*'Torque Assumptions · Tier prici'!G7</f>
        <v>4.79205845469</v>
      </c>
      <c r="H9" s="12">
        <f>'Monthly Financial Plan · Torque'!G9*(1-'Torque Assumptions · Tier prici'!H7)+'Monthly Financial Plan · Torque'!H5*'Torque Assumptions · Tier prici'!G7</f>
        <v>6.36491047058055</v>
      </c>
      <c r="I9" s="12">
        <f>'Monthly Financial Plan · Torque'!H9*(1-'Torque Assumptions · Tier prici'!H7)+'Monthly Financial Plan · Torque'!I5*'Torque Assumptions · Tier prici'!G7</f>
        <v>8.319730368377195</v>
      </c>
      <c r="J9" s="12">
        <f>'Monthly Financial Plan · Torque'!I9*(1-'Torque Assumptions · Tier prici'!H7)+'Monthly Financial Plan · Torque'!J5*'Torque Assumptions · Tier prici'!G7</f>
        <v>10.752347472218457</v>
      </c>
      <c r="K9" s="12">
        <f>'Monthly Financial Plan · Torque'!J9*(1-'Torque Assumptions · Tier prici'!H7)+'Monthly Financial Plan · Torque'!K5*'Torque Assumptions · Tier prici'!G7</f>
        <v>13.782538316667626</v>
      </c>
      <c r="L9" s="12">
        <f>'Monthly Financial Plan · Torque'!K9*(1-'Torque Assumptions · Tier prici'!H7)+'Monthly Financial Plan · Torque'!L5*'Torque Assumptions · Tier prici'!G7</f>
        <v>17.56001375293725</v>
      </c>
      <c r="M9" s="12">
        <f>'Monthly Financial Plan · Torque'!L9*(1-'Torque Assumptions · Tier prici'!H7)+'Monthly Financial Plan · Torque'!M5*'Torque Assumptions · Tier prici'!G7</f>
        <v>22.271902822561202</v>
      </c>
    </row>
    <row r="10">
      <c r="A10" t="inlineStr" s="5">
        <is>
          <t xml:space="preserve">Churned customers</t>
        </is>
      </c>
      <c r="B10" s="10">
        <f>SUM('Monthly Financial Plan · Torque'!B11,'Monthly Financial Plan · Torque'!B12,'Monthly Financial Plan · Torque'!B13)</f>
        <v>0</v>
      </c>
      <c r="C10" s="10">
        <f>SUM('Monthly Financial Plan · Torque'!C11,'Monthly Financial Plan · Torque'!C12,'Monthly Financial Plan · Torque'!C13)</f>
        <v>0.186</v>
      </c>
      <c r="D10" s="10">
        <f>SUM('Monthly Financial Plan · Torque'!D11,'Monthly Financial Plan · Torque'!D12,'Monthly Financial Plan · Torque'!D13)</f>
        <v>0.40587</v>
      </c>
      <c r="E10" s="10">
        <f>SUM('Monthly Financial Plan · Torque'!E11,'Monthly Financial Plan · Torque'!E12,'Monthly Financial Plan · Torque'!E13)</f>
        <v>0.6689889</v>
      </c>
      <c r="F10" s="10">
        <f>SUM('Monthly Financial Plan · Torque'!F11,'Monthly Financial Plan · Torque'!F12,'Monthly Financial Plan · Torque'!F13)</f>
        <v>0.987011958</v>
      </c>
      <c r="G10" s="10">
        <f>SUM('Monthly Financial Plan · Torque'!G11,'Monthly Financial Plan · Torque'!G12,'Monthly Financial Plan · Torque'!G13)</f>
        <v>1.3744451337599999</v>
      </c>
      <c r="H10" s="10">
        <f>SUM('Monthly Financial Plan · Torque'!H11,'Monthly Financial Plan · Torque'!H12,'Monthly Financial Plan · Torque'!H13)</f>
        <v>1.8493626085497001</v>
      </c>
      <c r="I10" s="10">
        <f>SUM('Monthly Financial Plan · Torque'!I11,'Monthly Financial Plan · Torque'!I12,'Monthly Financial Plan · Torque'!I13)</f>
        <v>2.434303307172759</v>
      </c>
      <c r="J10" s="10">
        <f>SUM('Monthly Financial Plan · Torque'!J11,'Monthly Financial Plan · Torque'!J12,'Monthly Financial Plan · Torque'!J13)</f>
        <v>3.157391202563794</v>
      </c>
      <c r="K10" s="10">
        <f>SUM('Monthly Financial Plan · Torque'!K11,'Monthly Financial Plan · Torque'!K12,'Monthly Financial Plan · Torque'!K13)</f>
        <v>4.053735375976334</v>
      </c>
      <c r="L10" s="10">
        <f>SUM('Monthly Financial Plan · Torque'!L11,'Monthly Financial Plan · Torque'!L12,'Monthly Financial Plan · Torque'!L13)</f>
        <v>5.167179796867183</v>
      </c>
      <c r="M10" s="10">
        <f>SUM('Monthly Financial Plan · Torque'!M11,'Monthly Financial Plan · Torque'!M12,'Monthly Financial Plan · Torque'!M13)</f>
        <v>6.552490275613911</v>
      </c>
    </row>
    <row r="11" outlineLevel="1">
      <c r="A11" t="inlineStr" s="13">
        <is>
          <t xml:space="preserve">Maintainer</t>
        </is>
      </c>
      <c r="B11" s="14">
        <f>'Model inputs'!D77*'Torque Assumptions · Tier prici'!H5</f>
        <v>0</v>
      </c>
      <c r="C11" s="14">
        <f>'Monthly Financial Plan · Torque'!B7*'Torque Assumptions · Tier prici'!H5</f>
        <v>0.12</v>
      </c>
      <c r="D11" s="14">
        <f>'Monthly Financial Plan · Torque'!C7*'Torque Assumptions · Tier prici'!H5</f>
        <v>0.2604</v>
      </c>
      <c r="E11" s="14">
        <f>'Monthly Financial Plan · Torque'!D7*'Torque Assumptions · Tier prici'!H5</f>
        <v>0.427068</v>
      </c>
      <c r="F11" s="14">
        <f>'Monthly Financial Plan · Torque'!E7*'Torque Assumptions · Tier prici'!H5</f>
        <v>0.62727756</v>
      </c>
      <c r="G11" s="14">
        <f>'Monthly Financial Plan · Torque'!F7*'Torque Assumptions · Tier prici'!H5</f>
        <v>0.8700641052</v>
      </c>
      <c r="H11" s="14">
        <f>'Monthly Financial Plan · Torque'!G7*'Torque Assumptions · Tier prici'!H5</f>
        <v>1.166669914284</v>
      </c>
      <c r="I11" s="14">
        <f>'Monthly Financial Plan · Torque'!H7*'Torque Assumptions · Tier prici'!H5</f>
        <v>1.5310999930162803</v>
      </c>
      <c r="J11" s="14">
        <f>'Monthly Financial Plan · Torque'!I7*'Torque Assumptions · Tier prici'!H5</f>
        <v>1.980816583418728</v>
      </c>
      <c r="K11" s="14">
        <f>'Monthly Financial Plan · Torque'!J7*'Torque Assumptions · Tier prici'!H5</f>
        <v>2.5376069940499173</v>
      </c>
      <c r="L11" s="14">
        <f>'Monthly Financial Plan · Torque'!K7*'Torque Assumptions · Tier prici'!H5</f>
        <v>3.2286681061567832</v>
      </c>
      <c r="M11" s="14">
        <f>'Monthly Financial Plan · Torque'!L7*'Torque Assumptions · Tier prici'!H5</f>
        <v>4.087961747202815</v>
      </c>
    </row>
    <row r="12" outlineLevel="1">
      <c r="A12" t="inlineStr" s="13">
        <is>
          <t xml:space="preserve">Starter</t>
        </is>
      </c>
      <c r="B12" s="14">
        <f>'Model inputs'!D78*'Torque Assumptions · Tier prici'!H6</f>
        <v>0</v>
      </c>
      <c r="C12" s="14">
        <f>'Monthly Financial Plan · Torque'!B8*'Torque Assumptions · Tier prici'!H6</f>
        <v>0.05249999999999999</v>
      </c>
      <c r="D12" s="14">
        <f>'Monthly Financial Plan · Torque'!C8*'Torque Assumptions · Tier prici'!H6</f>
        <v>0.11549999999999999</v>
      </c>
      <c r="E12" s="14">
        <f>'Monthly Financial Plan · Torque'!D8*'Torque Assumptions · Tier prici'!H6</f>
        <v>0.19175625</v>
      </c>
      <c r="F12" s="14">
        <f>'Monthly Financial Plan · Torque'!E8*'Torque Assumptions · Tier prici'!H6</f>
        <v>0.2847075</v>
      </c>
      <c r="G12" s="14">
        <f>'Monthly Financial Plan · Torque'!F8*'Torque Assumptions · Tier prici'!H6</f>
        <v>0.39864595312499995</v>
      </c>
      <c r="H12" s="14">
        <f>'Monthly Financial Plan · Torque'!G8*'Torque Assumptions · Tier prici'!H6</f>
        <v>0.538930940625</v>
      </c>
      <c r="I12" s="14">
        <f>'Monthly Financial Plan · Torque'!H8*'Torque Assumptions · Tier prici'!H6</f>
        <v>0.7122560000390625</v>
      </c>
      <c r="J12" s="14">
        <f>'Monthly Financial Plan · Torque'!I8*'Torque Assumptions · Tier prici'!H6</f>
        <v>0.92698270809375</v>
      </c>
      <c r="K12" s="14">
        <f>'Monthly Financial Plan · Torque'!J8*'Torque Assumptions · Tier prici'!H6</f>
        <v>1.1935579577598634</v>
      </c>
      <c r="L12" s="14">
        <f>'Monthly Financial Plan · Torque'!K8*'Torque Assumptions · Tier prici'!H6</f>
        <v>1.525035541210371</v>
      </c>
      <c r="M12" s="14">
        <f>'Monthly Financial Plan · Torque'!L8*'Torque Assumptions · Tier prici'!H6</f>
        <v>1.9377281158229787</v>
      </c>
    </row>
    <row r="13" outlineLevel="1">
      <c r="A13" t="inlineStr" s="13">
        <is>
          <t xml:space="preserve">Team</t>
        </is>
      </c>
      <c r="B13" s="14">
        <f>'Model inputs'!D79*'Torque Assumptions · Tier prici'!H7</f>
        <v>0</v>
      </c>
      <c r="C13" s="14">
        <f>'Monthly Financial Plan · Torque'!B9*'Torque Assumptions · Tier prici'!H7</f>
        <v>0.013499999999999998</v>
      </c>
      <c r="D13" s="14">
        <f>'Monthly Financial Plan · Torque'!C9*'Torque Assumptions · Tier prici'!H7</f>
        <v>0.029969999999999997</v>
      </c>
      <c r="E13" s="14">
        <f>'Monthly Financial Plan · Torque'!D9*'Torque Assumptions · Tier prici'!H7</f>
        <v>0.05016464999999999</v>
      </c>
      <c r="F13" s="14">
        <f>'Monthly Financial Plan · Torque'!E9*'Torque Assumptions · Tier prici'!H7</f>
        <v>0.075026898</v>
      </c>
      <c r="G13" s="14">
        <f>'Monthly Financial Plan · Torque'!F9*'Torque Assumptions · Tier prici'!H7</f>
        <v>0.10573507543499999</v>
      </c>
      <c r="H13" s="14">
        <f>'Monthly Financial Plan · Torque'!G9*'Torque Assumptions · Tier prici'!H7</f>
        <v>0.1437617536407</v>
      </c>
      <c r="I13" s="14">
        <f>'Monthly Financial Plan · Torque'!H9*'Torque Assumptions · Tier prici'!H7</f>
        <v>0.19094731411741647</v>
      </c>
      <c r="J13" s="14">
        <f>'Monthly Financial Plan · Torque'!I9*'Torque Assumptions · Tier prici'!H7</f>
        <v>0.24959191105131584</v>
      </c>
      <c r="K13" s="14">
        <f>'Monthly Financial Plan · Torque'!J9*'Torque Assumptions · Tier prici'!H7</f>
        <v>0.3225704241665537</v>
      </c>
      <c r="L13" s="14">
        <f>'Monthly Financial Plan · Torque'!K9*'Torque Assumptions · Tier prici'!H7</f>
        <v>0.41347614950002876</v>
      </c>
      <c r="M13" s="14">
        <f>'Monthly Financial Plan · Torque'!L9*'Torque Assumptions · Tier prici'!H7</f>
        <v>0.5268004125881175</v>
      </c>
    </row>
    <row r="14">
      <c r="A14" t="inlineStr" s="5">
        <is>
          <t xml:space="preserve">Issue runs</t>
        </is>
      </c>
      <c r="B14" s="15">
        <f>SUM('Monthly Financial Plan · Torque'!B15,'Monthly Financial Plan · Torque'!B16,'Monthly Financial Plan · Torque'!B17)</f>
        <v>138.075</v>
      </c>
      <c r="C14" s="15">
        <f>SUM('Monthly Financial Plan · Torque'!C15,'Monthly Financial Plan · Torque'!C16,'Monthly Financial Plan · Torque'!C17)</f>
        <v>304.84499999999997</v>
      </c>
      <c r="D14" s="15">
        <f>SUM('Monthly Financial Plan · Torque'!D15,'Monthly Financial Plan · Torque'!D16,'Monthly Financial Plan · Torque'!D17)</f>
        <v>507.7684125</v>
      </c>
      <c r="E14" s="15">
        <f>SUM('Monthly Financial Plan · Torque'!E15,'Monthly Financial Plan · Torque'!E16,'Monthly Financial Plan · Torque'!E17)</f>
        <v>756.1521457499999</v>
      </c>
      <c r="F14" s="15">
        <f>SUM('Monthly Financial Plan · Torque'!F15,'Monthly Financial Plan · Torque'!F16,'Monthly Financial Plan · Torque'!F17)</f>
        <v>1061.6147548837498</v>
      </c>
      <c r="G14" s="15">
        <f>SUM('Monthly Financial Plan · Torque'!G15,'Monthly Financial Plan · Torque'!G16,'Monthly Financial Plan · Torque'!G17)</f>
        <v>1438.6653095733</v>
      </c>
      <c r="H14" s="15">
        <f>SUM('Monthly Financial Plan · Torque'!H15,'Monthly Financial Plan · Torque'!H16,'Monthly Financial Plan · Torque'!H17)</f>
        <v>1905.4269125546066</v>
      </c>
      <c r="I14" s="15">
        <f>SUM('Monthly Financial Plan · Torque'!I15,'Monthly Financial Plan · Torque'!I16,'Monthly Financial Plan · Torque'!I17)</f>
        <v>2484.5410365665193</v>
      </c>
      <c r="J14" s="15">
        <f>SUM('Monthly Financial Plan · Torque'!J15,'Monthly Financial Plan · Torque'!J16,'Monthly Financial Plan · Torque'!J17)</f>
        <v>3204.297888766145</v>
      </c>
      <c r="K14" s="15">
        <f>SUM('Monthly Financial Plan · Torque'!K15,'Monthly Financial Plan · Torque'!K16,'Monthly Financial Plan · Torque'!K17)</f>
        <v>4100.0493136126315</v>
      </c>
      <c r="L14" s="15">
        <f>SUM('Monthly Financial Plan · Torque'!L15,'Monthly Financial Plan · Torque'!L16,'Monthly Financial Plan · Torque'!L17)</f>
        <v>5215.97487264869</v>
      </c>
      <c r="M14" s="15">
        <f>SUM('Monthly Financial Plan · Torque'!M15,'Monthly Financial Plan · Torque'!M16,'Monthly Financial Plan · Torque'!M17)</f>
        <v>6607.289398929774</v>
      </c>
    </row>
    <row r="15" outlineLevel="1">
      <c r="A15" t="inlineStr" s="13">
        <is>
          <t xml:space="preserve">Maintainer</t>
        </is>
      </c>
      <c r="B15" s="16">
        <f>'Monthly Financial Plan · Torque'!B7*'Torque Assumptions · Tier prici'!I5</f>
        <v>17.25</v>
      </c>
      <c r="C15" s="16">
        <f>'Monthly Financial Plan · Torque'!C7*'Torque Assumptions · Tier prici'!I5</f>
        <v>37.4325</v>
      </c>
      <c r="D15" s="16">
        <f>'Monthly Financial Plan · Torque'!D7*'Torque Assumptions · Tier prici'!I5</f>
        <v>61.391025</v>
      </c>
      <c r="E15" s="16">
        <f>'Monthly Financial Plan · Torque'!E7*'Torque Assumptions · Tier prici'!I5</f>
        <v>90.17114925</v>
      </c>
      <c r="F15" s="16">
        <f>'Monthly Financial Plan · Torque'!F7*'Torque Assumptions · Tier prici'!I5</f>
        <v>125.07171512250001</v>
      </c>
      <c r="G15" s="16">
        <f>'Monthly Financial Plan · Torque'!G7*'Torque Assumptions · Tier prici'!I5</f>
        <v>167.70880017832502</v>
      </c>
      <c r="H15" s="16">
        <f>'Monthly Financial Plan · Torque'!H7*'Torque Assumptions · Tier prici'!I5</f>
        <v>220.0956239960903</v>
      </c>
      <c r="I15" s="16">
        <f>'Monthly Financial Plan · Torque'!I7*'Torque Assumptions · Tier prici'!I5</f>
        <v>284.74238386644214</v>
      </c>
      <c r="J15" s="16">
        <f>'Monthly Financial Plan · Torque'!J7*'Torque Assumptions · Tier prici'!I5</f>
        <v>364.7810053946756</v>
      </c>
      <c r="K15" s="16">
        <f>'Monthly Financial Plan · Torque'!K7*'Torque Assumptions · Tier prici'!I5</f>
        <v>464.1210402600376</v>
      </c>
      <c r="L15" s="16">
        <f>'Monthly Financial Plan · Torque'!L7*'Torque Assumptions · Tier prici'!I5</f>
        <v>587.6445011604046</v>
      </c>
      <c r="M15" s="16">
        <f>'Monthly Financial Plan · Torque'!M7*'Torque Assumptions · Tier prici'!I5</f>
        <v>741.4493712190349</v>
      </c>
    </row>
    <row r="16" outlineLevel="1">
      <c r="A16" t="inlineStr" s="13">
        <is>
          <t xml:space="preserve">Starter</t>
        </is>
      </c>
      <c r="B16" s="16">
        <f>'Monthly Financial Plan · Torque'!B8*'Torque Assumptions · Tier prici'!I6</f>
        <v>40.949999999999996</v>
      </c>
      <c r="C16" s="16">
        <f>'Monthly Financial Plan · Torque'!C8*'Torque Assumptions · Tier prici'!I6</f>
        <v>90.08999999999999</v>
      </c>
      <c r="D16" s="16">
        <f>'Monthly Financial Plan · Torque'!D8*'Torque Assumptions · Tier prici'!I6</f>
        <v>149.569875</v>
      </c>
      <c r="E16" s="16">
        <f>'Monthly Financial Plan · Torque'!E8*'Torque Assumptions · Tier prici'!I6</f>
        <v>222.07184999999998</v>
      </c>
      <c r="F16" s="16">
        <f>'Monthly Financial Plan · Torque'!F8*'Torque Assumptions · Tier prici'!I6</f>
        <v>310.94384343749994</v>
      </c>
      <c r="G16" s="16">
        <f>'Monthly Financial Plan · Torque'!G8*'Torque Assumptions · Tier prici'!I6</f>
        <v>420.3661336875</v>
      </c>
      <c r="H16" s="16">
        <f>'Monthly Financial Plan · Torque'!H8*'Torque Assumptions · Tier prici'!I6</f>
        <v>555.5596800304687</v>
      </c>
      <c r="I16" s="16">
        <f>'Monthly Financial Plan · Torque'!I8*'Torque Assumptions · Tier prici'!I6</f>
        <v>723.0465123131249</v>
      </c>
      <c r="J16" s="16">
        <f>'Monthly Financial Plan · Torque'!J8*'Torque Assumptions · Tier prici'!I6</f>
        <v>930.9752070526933</v>
      </c>
      <c r="K16" s="16">
        <f>'Monthly Financial Plan · Torque'!K8*'Torque Assumptions · Tier prici'!I6</f>
        <v>1189.5277221440895</v>
      </c>
      <c r="L16" s="16">
        <f>'Monthly Financial Plan · Torque'!L8*'Torque Assumptions · Tier prici'!I6</f>
        <v>1511.4279303419232</v>
      </c>
      <c r="M16" s="16">
        <f>'Monthly Financial Plan · Torque'!M8*'Torque Assumptions · Tier prici'!I6</f>
        <v>1912.577276706125</v>
      </c>
    </row>
    <row r="17" outlineLevel="1">
      <c r="A17" t="inlineStr" s="13">
        <is>
          <t xml:space="preserve">Team</t>
        </is>
      </c>
      <c r="B17" s="16">
        <f>'Monthly Financial Plan · Torque'!B9*'Torque Assumptions · Tier prici'!I7</f>
        <v>79.87499999999999</v>
      </c>
      <c r="C17" s="16">
        <f>'Monthly Financial Plan · Torque'!C9*'Torque Assumptions · Tier prici'!I7</f>
        <v>177.3225</v>
      </c>
      <c r="D17" s="16">
        <f>'Monthly Financial Plan · Torque'!D9*'Torque Assumptions · Tier prici'!I7</f>
        <v>296.8075125</v>
      </c>
      <c r="E17" s="16">
        <f>'Monthly Financial Plan · Torque'!E9*'Torque Assumptions · Tier prici'!I7</f>
        <v>443.90914649999996</v>
      </c>
      <c r="F17" s="16">
        <f>'Monthly Financial Plan · Torque'!F9*'Torque Assumptions · Tier prici'!I7</f>
        <v>625.59919632375</v>
      </c>
      <c r="G17" s="16">
        <f>'Monthly Financial Plan · Torque'!G9*'Torque Assumptions · Tier prici'!I7</f>
        <v>850.590375707475</v>
      </c>
      <c r="H17" s="16">
        <f>'Monthly Financial Plan · Torque'!H9*'Torque Assumptions · Tier prici'!I7</f>
        <v>1129.7716085280476</v>
      </c>
      <c r="I17" s="16">
        <f>'Monthly Financial Plan · Torque'!I9*'Torque Assumptions · Tier prici'!I7</f>
        <v>1476.752140386952</v>
      </c>
      <c r="J17" s="16">
        <f>'Monthly Financial Plan · Torque'!J9*'Torque Assumptions · Tier prici'!I7</f>
        <v>1908.5416763187761</v>
      </c>
      <c r="K17" s="16">
        <f>'Monthly Financial Plan · Torque'!K9*'Torque Assumptions · Tier prici'!I7</f>
        <v>2446.4005512085037</v>
      </c>
      <c r="L17" s="16">
        <f>'Monthly Financial Plan · Torque'!L9*'Torque Assumptions · Tier prici'!I7</f>
        <v>3116.902441146362</v>
      </c>
      <c r="M17" s="16">
        <f>'Monthly Financial Plan · Torque'!M9*'Torque Assumptions · Tier prici'!I7</f>
        <v>3953.262751004613</v>
      </c>
    </row>
    <row r="18">
      <c r="A18" t="inlineStr" s="7">
        <is>
          <t xml:space="preserve">Verified pull requests</t>
        </is>
      </c>
      <c r="B18" s="16">
        <f>SUM('Monthly Financial Plan · Torque'!B15,'Monthly Financial Plan · Torque'!B16,'Monthly Financial Plan · Torque'!B17)*'Torque Assumptions · Run cost a'!B17</f>
        <v>82.84499999999998</v>
      </c>
      <c r="C18" s="16">
        <f>SUM('Monthly Financial Plan · Torque'!C15,'Monthly Financial Plan · Torque'!C16,'Monthly Financial Plan · Torque'!C17)*'Torque Assumptions · Run cost a'!B17</f>
        <v>182.90699999999998</v>
      </c>
      <c r="D18" s="16">
        <f>SUM('Monthly Financial Plan · Torque'!D15,'Monthly Financial Plan · Torque'!D16,'Monthly Financial Plan · Torque'!D17)*'Torque Assumptions · Run cost a'!B17</f>
        <v>304.6610475</v>
      </c>
      <c r="E18" s="16">
        <f>SUM('Monthly Financial Plan · Torque'!E15,'Monthly Financial Plan · Torque'!E16,'Monthly Financial Plan · Torque'!E17)*'Torque Assumptions · Run cost a'!B17</f>
        <v>453.69128744999995</v>
      </c>
      <c r="F18" s="16">
        <f>SUM('Monthly Financial Plan · Torque'!F15,'Monthly Financial Plan · Torque'!F16,'Monthly Financial Plan · Torque'!F17)*'Torque Assumptions · Run cost a'!B17</f>
        <v>636.9688529302499</v>
      </c>
      <c r="G18" s="16">
        <f>SUM('Monthly Financial Plan · Torque'!G15,'Monthly Financial Plan · Torque'!G16,'Monthly Financial Plan · Torque'!G17)*'Torque Assumptions · Run cost a'!B17</f>
        <v>863.1991857439799</v>
      </c>
      <c r="H18" s="16">
        <f>SUM('Monthly Financial Plan · Torque'!H15,'Monthly Financial Plan · Torque'!H16,'Monthly Financial Plan · Torque'!H17)*'Torque Assumptions · Run cost a'!B17</f>
        <v>1143.2561475327639</v>
      </c>
      <c r="I18" s="16">
        <f>SUM('Monthly Financial Plan · Torque'!I15,'Monthly Financial Plan · Torque'!I16,'Monthly Financial Plan · Torque'!I17)*'Torque Assumptions · Run cost a'!B17</f>
        <v>1490.7246219399115</v>
      </c>
      <c r="J18" s="16">
        <f>SUM('Monthly Financial Plan · Torque'!J15,'Monthly Financial Plan · Torque'!J16,'Monthly Financial Plan · Torque'!J17)*'Torque Assumptions · Run cost a'!B17</f>
        <v>1922.578733259687</v>
      </c>
      <c r="K18" s="16">
        <f>SUM('Monthly Financial Plan · Torque'!K15,'Monthly Financial Plan · Torque'!K16,'Monthly Financial Plan · Torque'!K17)*'Torque Assumptions · Run cost a'!B17</f>
        <v>2460.029588167579</v>
      </c>
      <c r="L18" s="16">
        <f>SUM('Monthly Financial Plan · Torque'!L15,'Monthly Financial Plan · Torque'!L16,'Monthly Financial Plan · Torque'!L17)*'Torque Assumptions · Run cost a'!B17</f>
        <v>3129.5849235892138</v>
      </c>
      <c r="M18" s="16">
        <f>SUM('Monthly Financial Plan · Torque'!M15,'Monthly Financial Plan · Torque'!M16,'Monthly Financial Plan · Torque'!M17)*'Torque Assumptions · Run cost a'!B17</f>
        <v>3964.373639357864</v>
      </c>
    </row>
    <row r="19">
      <c r="A19" t="inlineStr" s="5">
        <is>
          <t xml:space="preserve">Subscription revenue</t>
        </is>
      </c>
      <c r="B19" s="17">
        <f>SUM('Monthly Financial Plan · Torque'!B20,'Monthly Financial Plan · Torque'!B21,'Monthly Financial Plan · Torque'!B22)</f>
        <v>327</v>
      </c>
      <c r="C19" s="17">
        <f>SUM('Monthly Financial Plan · Torque'!C20,'Monthly Financial Plan · Torque'!C21,'Monthly Financial Plan · Torque'!C22)</f>
        <v>721.6859999999999</v>
      </c>
      <c r="D19" s="17">
        <f>SUM('Monthly Financial Plan · Torque'!D20,'Monthly Financial Plan · Torque'!D21,'Monthly Financial Plan · Torque'!D22)</f>
        <v>1201.6793699999998</v>
      </c>
      <c r="E19" s="17">
        <f>SUM('Monthly Financial Plan · Torque'!E20,'Monthly Financial Plan · Torque'!E21,'Monthly Financial Plan · Torque'!E22)</f>
        <v>1788.9667089</v>
      </c>
      <c r="F19" s="17">
        <f>SUM('Monthly Financial Plan · Torque'!F20,'Monthly Financial Plan · Torque'!F21,'Monthly Financial Plan · Torque'!F22)</f>
        <v>2510.993728608</v>
      </c>
      <c r="G19" s="17">
        <f>SUM('Monthly Financial Plan · Torque'!G20,'Monthly Financial Plan · Torque'!G21,'Monthly Financial Plan · Torque'!G22)</f>
        <v>3402.03242978676</v>
      </c>
      <c r="H19" s="17">
        <f>SUM('Monthly Financial Plan · Torque'!H20,'Monthly Financial Plan · Torque'!H21,'Monthly Financial Plan · Torque'!H22)</f>
        <v>4504.889905307385</v>
      </c>
      <c r="I19" s="17">
        <f>SUM('Monthly Financial Plan · Torque'!I20,'Monthly Financial Plan · Torque'!I21,'Monthly Financial Plan · Torque'!I22)</f>
        <v>5873.044190497414</v>
      </c>
      <c r="J19" s="17">
        <f>SUM('Monthly Financial Plan · Torque'!J20,'Monthly Financial Plan · Torque'!J21,'Monthly Financial Plan · Torque'!J22)</f>
        <v>7573.3139331227885</v>
      </c>
      <c r="K19" s="17">
        <f>SUM('Monthly Financial Plan · Torque'!K20,'Monthly Financial Plan · Torque'!K21,'Monthly Financial Plan · Torque'!K22)</f>
        <v>9689.195348428751</v>
      </c>
      <c r="L19" s="17">
        <f>SUM('Monthly Financial Plan · Torque'!L20,'Monthly Financial Plan · Torque'!L21,'Monthly Financial Plan · Torque'!L22)</f>
        <v>12325.033290112482</v>
      </c>
      <c r="M19" s="17">
        <f>SUM('Monthly Financial Plan · Torque'!M20,'Monthly Financial Plan · Torque'!M21,'Monthly Financial Plan · Torque'!M22)</f>
        <v>15611.234975095236</v>
      </c>
    </row>
    <row r="20" outlineLevel="1">
      <c r="A20" t="inlineStr" s="13">
        <is>
          <t xml:space="preserve">Maintainer</t>
        </is>
      </c>
      <c r="B20" s="18">
        <f>'Monthly Financial Plan · Torque'!B7*'Torque Assumptions · Tier prici'!B5</f>
        <v>43.5</v>
      </c>
      <c r="C20" s="18">
        <f>'Monthly Financial Plan · Torque'!C7*'Torque Assumptions · Tier prici'!B5</f>
        <v>94.395</v>
      </c>
      <c r="D20" s="18">
        <f>'Monthly Financial Plan · Torque'!D7*'Torque Assumptions · Tier prici'!B5</f>
        <v>154.81215</v>
      </c>
      <c r="E20" s="18">
        <f>'Monthly Financial Plan · Torque'!E7*'Torque Assumptions · Tier prici'!B5</f>
        <v>227.3881155</v>
      </c>
      <c r="F20" s="18">
        <f>'Monthly Financial Plan · Torque'!F7*'Torque Assumptions · Tier prici'!B5</f>
        <v>315.398238135</v>
      </c>
      <c r="G20" s="18">
        <f>'Monthly Financial Plan · Torque'!G7*'Torque Assumptions · Tier prici'!B5</f>
        <v>422.91784392795006</v>
      </c>
      <c r="H20" s="18">
        <f>'Monthly Financial Plan · Torque'!H7*'Torque Assumptions · Tier prici'!B5</f>
        <v>555.0237474684016</v>
      </c>
      <c r="I20" s="18">
        <f>'Monthly Financial Plan · Torque'!I7*'Torque Assumptions · Tier prici'!B5</f>
        <v>718.0460114892888</v>
      </c>
      <c r="J20" s="18">
        <f>'Monthly Financial Plan · Torque'!J7*'Torque Assumptions · Tier prici'!B5</f>
        <v>919.882535343095</v>
      </c>
      <c r="K20" s="18">
        <f>'Monthly Financial Plan · Torque'!K7*'Torque Assumptions · Tier prici'!B5</f>
        <v>1170.392188481834</v>
      </c>
      <c r="L20" s="18">
        <f>'Monthly Financial Plan · Torque'!L7*'Torque Assumptions · Tier prici'!B5</f>
        <v>1481.8861333610205</v>
      </c>
      <c r="M20" s="18">
        <f>'Monthly Financial Plan · Torque'!M7*'Torque Assumptions · Tier prici'!B5</f>
        <v>1869.7418926393057</v>
      </c>
    </row>
    <row r="21" outlineLevel="1">
      <c r="A21" t="inlineStr" s="13">
        <is>
          <t xml:space="preserve">Starter</t>
        </is>
      </c>
      <c r="B21" s="18">
        <f>'Monthly Financial Plan · Torque'!B8*'Torque Assumptions · Tier prici'!B6</f>
        <v>103.94999999999999</v>
      </c>
      <c r="C21" s="18">
        <f>'Monthly Financial Plan · Torque'!C8*'Torque Assumptions · Tier prici'!B6</f>
        <v>228.68999999999997</v>
      </c>
      <c r="D21" s="18">
        <f>'Monthly Financial Plan · Torque'!D8*'Torque Assumptions · Tier prici'!B6</f>
        <v>379.677375</v>
      </c>
      <c r="E21" s="18">
        <f>'Monthly Financial Plan · Torque'!E8*'Torque Assumptions · Tier prici'!B6</f>
        <v>563.7208499999999</v>
      </c>
      <c r="F21" s="18">
        <f>'Monthly Financial Plan · Torque'!F8*'Torque Assumptions · Tier prici'!B6</f>
        <v>789.3189871874999</v>
      </c>
      <c r="G21" s="18">
        <f>'Monthly Financial Plan · Torque'!G8*'Torque Assumptions · Tier prici'!B6</f>
        <v>1067.0832624375</v>
      </c>
      <c r="H21" s="18">
        <f>'Monthly Financial Plan · Torque'!H8*'Torque Assumptions · Tier prici'!B6</f>
        <v>1410.2668800773436</v>
      </c>
      <c r="I21" s="18">
        <f>'Monthly Financial Plan · Torque'!I8*'Torque Assumptions · Tier prici'!B6</f>
        <v>1835.4257620256249</v>
      </c>
      <c r="J21" s="18">
        <f>'Monthly Financial Plan · Torque'!J8*'Torque Assumptions · Tier prici'!B6</f>
        <v>2363.244756364529</v>
      </c>
      <c r="K21" s="18">
        <f>'Monthly Financial Plan · Torque'!K8*'Torque Assumptions · Tier prici'!B6</f>
        <v>3019.5703715965346</v>
      </c>
      <c r="L21" s="18">
        <f>'Monthly Financial Plan · Torque'!L8*'Torque Assumptions · Tier prici'!B6</f>
        <v>3836.7016693294972</v>
      </c>
      <c r="M21" s="18">
        <f>'Monthly Financial Plan · Torque'!M8*'Torque Assumptions · Tier prici'!B6</f>
        <v>4855.00385625401</v>
      </c>
    </row>
    <row r="22" outlineLevel="1">
      <c r="A22" t="inlineStr" s="13">
        <is>
          <t xml:space="preserve">Team</t>
        </is>
      </c>
      <c r="B22" s="18">
        <f>'Monthly Financial Plan · Torque'!B9*'Torque Assumptions · Tier prici'!B7</f>
        <v>179.54999999999998</v>
      </c>
      <c r="C22" s="18">
        <f>'Monthly Financial Plan · Torque'!C9*'Torque Assumptions · Tier prici'!B7</f>
        <v>398.60099999999994</v>
      </c>
      <c r="D22" s="18">
        <f>'Monthly Financial Plan · Torque'!D9*'Torque Assumptions · Tier prici'!B7</f>
        <v>667.189845</v>
      </c>
      <c r="E22" s="18">
        <f>'Monthly Financial Plan · Torque'!E9*'Torque Assumptions · Tier prici'!B7</f>
        <v>997.8577434</v>
      </c>
      <c r="F22" s="18">
        <f>'Monthly Financial Plan · Torque'!F9*'Torque Assumptions · Tier prici'!B7</f>
        <v>1406.2765032855</v>
      </c>
      <c r="G22" s="18">
        <f>'Monthly Financial Plan · Torque'!G9*'Torque Assumptions · Tier prici'!B7</f>
        <v>1912.0313234213102</v>
      </c>
      <c r="H22" s="18">
        <f>'Monthly Financial Plan · Torque'!H9*'Torque Assumptions · Tier prici'!B7</f>
        <v>2539.5992777616393</v>
      </c>
      <c r="I22" s="18">
        <f>'Monthly Financial Plan · Torque'!I9*'Torque Assumptions · Tier prici'!B7</f>
        <v>3319.5724169825007</v>
      </c>
      <c r="J22" s="18">
        <f>'Monthly Financial Plan · Torque'!J9*'Torque Assumptions · Tier prici'!B7</f>
        <v>4290.186641415165</v>
      </c>
      <c r="K22" s="18">
        <f>'Monthly Financial Plan · Torque'!K9*'Torque Assumptions · Tier prici'!B7</f>
        <v>5499.232788350383</v>
      </c>
      <c r="L22" s="18">
        <f>'Monthly Financial Plan · Torque'!L9*'Torque Assumptions · Tier prici'!B7</f>
        <v>7006.445487421964</v>
      </c>
      <c r="M22" s="18">
        <f>'Monthly Financial Plan · Torque'!M9*'Torque Assumptions · Tier prici'!B7</f>
        <v>8886.48922620192</v>
      </c>
    </row>
    <row r="23">
      <c r="A23" t="inlineStr" s="5">
        <is>
          <t xml:space="preserve">Overage revenue</t>
        </is>
      </c>
      <c r="B23" s="17">
        <f>SUM('Monthly Financial Plan · Torque'!B24,'Monthly Financial Plan · Torque'!B25,'Monthly Financial Plan · Torque'!B26)</f>
        <v>22.4625</v>
      </c>
      <c r="C23" s="17">
        <f>SUM('Monthly Financial Plan · Torque'!C24,'Monthly Financial Plan · Torque'!C25,'Monthly Financial Plan · Torque'!C26)</f>
        <v>49.631249999999994</v>
      </c>
      <c r="D23" s="17">
        <f>SUM('Monthly Financial Plan · Torque'!D24,'Monthly Financial Plan · Torque'!D25,'Monthly Financial Plan · Torque'!D26)</f>
        <v>82.72468124999999</v>
      </c>
      <c r="E23" s="17">
        <f>SUM('Monthly Financial Plan · Torque'!E24,'Monthly Financial Plan · Torque'!E25,'Monthly Financial Plan · Torque'!E26)</f>
        <v>123.263622375</v>
      </c>
      <c r="F23" s="17">
        <f>SUM('Monthly Financial Plan · Torque'!F24,'Monthly Financial Plan · Torque'!F25,'Monthly Financial Plan · Torque'!F26)</f>
        <v>173.147030750625</v>
      </c>
      <c r="G23" s="17">
        <f>SUM('Monthly Financial Plan · Torque'!G24,'Monthly Financial Plan · Torque'!G25,'Monthly Financial Plan · Torque'!G26)</f>
        <v>234.74664803576252</v>
      </c>
      <c r="H23" s="17">
        <f>SUM('Monthly Financial Plan · Torque'!H24,'Monthly Financial Plan · Torque'!H25,'Monthly Financial Plan · Torque'!H26)</f>
        <v>311.02531151356925</v>
      </c>
      <c r="I23" s="17">
        <f>SUM('Monthly Financial Plan · Torque'!I24,'Monthly Financial Plan · Torque'!I25,'Monthly Financial Plan · Torque'!I26)</f>
        <v>405.6848357598897</v>
      </c>
      <c r="J23" s="17">
        <f>SUM('Monthly Financial Plan · Torque'!J24,'Monthly Financial Plan · Torque'!J25,'Monthly Financial Plan · Torque'!J26)</f>
        <v>523.3508577461653</v>
      </c>
      <c r="K23" s="17">
        <f>SUM('Monthly Financial Plan · Torque'!K24,'Monthly Financial Plan · Torque'!K25,'Monthly Financial Plan · Torque'!K26)</f>
        <v>669.8038867221286</v>
      </c>
      <c r="L23" s="17">
        <f>SUM('Monthly Financial Plan · Torque'!L24,'Monthly Financial Plan · Torque'!L25,'Monthly Financial Plan · Torque'!L26)</f>
        <v>852.2681105242636</v>
      </c>
      <c r="M23" s="17">
        <f>SUM('Monthly Financial Plan · Torque'!M24,'Monthly Financial Plan · Torque'!M25,'Monthly Financial Plan · Torque'!M26)</f>
        <v>1079.772397834564</v>
      </c>
    </row>
    <row r="24" outlineLevel="1">
      <c r="A24" t="inlineStr" s="13">
        <is>
          <t xml:space="preserve">Maintainer</t>
        </is>
      </c>
      <c r="B24" s="18">
        <f>'Monthly Financial Plan · Torque'!B7*'Torque Assumptions · Tier prici'!F5*'Torque Assumptions · Tier prici'!D5</f>
        <v>1.875</v>
      </c>
      <c r="C24" s="18">
        <f>'Monthly Financial Plan · Torque'!C7*'Torque Assumptions · Tier prici'!F5*'Torque Assumptions · Tier prici'!D5</f>
        <v>4.06875</v>
      </c>
      <c r="D24" s="18">
        <f>'Monthly Financial Plan · Torque'!D7*'Torque Assumptions · Tier prici'!F5*'Torque Assumptions · Tier prici'!D5</f>
        <v>6.6729375</v>
      </c>
      <c r="E24" s="18">
        <f>'Monthly Financial Plan · Torque'!E7*'Torque Assumptions · Tier prici'!F5*'Torque Assumptions · Tier prici'!D5</f>
        <v>9.801211875</v>
      </c>
      <c r="F24" s="18">
        <f>'Monthly Financial Plan · Torque'!F7*'Torque Assumptions · Tier prici'!F5*'Torque Assumptions · Tier prici'!D5</f>
        <v>13.594751643750001</v>
      </c>
      <c r="G24" s="18">
        <f>'Monthly Financial Plan · Torque'!G7*'Torque Assumptions · Tier prici'!F5*'Torque Assumptions · Tier prici'!D5</f>
        <v>18.2292174106875</v>
      </c>
      <c r="H24" s="18">
        <f>'Monthly Financial Plan · Torque'!H7*'Torque Assumptions · Tier prici'!F5*'Torque Assumptions · Tier prici'!D5</f>
        <v>23.92343739087938</v>
      </c>
      <c r="I24" s="18">
        <f>'Monthly Financial Plan · Torque'!I7*'Torque Assumptions · Tier prici'!F5*'Torque Assumptions · Tier prici'!D5</f>
        <v>30.95025911591762</v>
      </c>
      <c r="J24" s="18">
        <f>'Monthly Financial Plan · Torque'!J7*'Torque Assumptions · Tier prici'!F5*'Torque Assumptions · Tier prici'!D5</f>
        <v>39.65010928202996</v>
      </c>
      <c r="K24" s="18">
        <f>'Monthly Financial Plan · Torque'!K7*'Torque Assumptions · Tier prici'!F5*'Torque Assumptions · Tier prici'!D5</f>
        <v>50.44793915869974</v>
      </c>
      <c r="L24" s="18">
        <f>'Monthly Financial Plan · Torque'!L7*'Torque Assumptions · Tier prici'!F5*'Torque Assumptions · Tier prici'!D5</f>
        <v>63.87440230004398</v>
      </c>
      <c r="M24" s="18">
        <f>'Monthly Financial Plan · Torque'!M7*'Torque Assumptions · Tier prici'!F5*'Torque Assumptions · Tier prici'!D5</f>
        <v>80.59232295859076</v>
      </c>
    </row>
    <row r="25" outlineLevel="1">
      <c r="A25" t="inlineStr" s="13">
        <is>
          <t xml:space="preserve">Starter</t>
        </is>
      </c>
      <c r="B25" s="18">
        <f>'Monthly Financial Plan · Torque'!B8*'Torque Assumptions · Tier prici'!F6*'Torque Assumptions · Tier prici'!D6</f>
        <v>7.087499999999999</v>
      </c>
      <c r="C25" s="18">
        <f>'Monthly Financial Plan · Torque'!C8*'Torque Assumptions · Tier prici'!F6*'Torque Assumptions · Tier prici'!D6</f>
        <v>15.592499999999998</v>
      </c>
      <c r="D25" s="18">
        <f>'Monthly Financial Plan · Torque'!D8*'Torque Assumptions · Tier prici'!F6*'Torque Assumptions · Tier prici'!D6</f>
        <v>25.88709375</v>
      </c>
      <c r="E25" s="18">
        <f>'Monthly Financial Plan · Torque'!E8*'Torque Assumptions · Tier prici'!F6*'Torque Assumptions · Tier prici'!D6</f>
        <v>38.435512499999994</v>
      </c>
      <c r="F25" s="18">
        <f>'Monthly Financial Plan · Torque'!F8*'Torque Assumptions · Tier prici'!F6*'Torque Assumptions · Tier prici'!D6</f>
        <v>53.817203671875</v>
      </c>
      <c r="G25" s="18">
        <f>'Monthly Financial Plan · Torque'!G8*'Torque Assumptions · Tier prici'!F6*'Torque Assumptions · Tier prici'!D6</f>
        <v>72.755676984375</v>
      </c>
      <c r="H25" s="18">
        <f>'Monthly Financial Plan · Torque'!H8*'Torque Assumptions · Tier prici'!F6*'Torque Assumptions · Tier prici'!D6</f>
        <v>96.15456000527342</v>
      </c>
      <c r="I25" s="18">
        <f>'Monthly Financial Plan · Torque'!I8*'Torque Assumptions · Tier prici'!F6*'Torque Assumptions · Tier prici'!D6</f>
        <v>125.14266559265624</v>
      </c>
      <c r="J25" s="18">
        <f>'Monthly Financial Plan · Torque'!J8*'Torque Assumptions · Tier prici'!F6*'Torque Assumptions · Tier prici'!D6</f>
        <v>161.13032429758155</v>
      </c>
      <c r="K25" s="18">
        <f>'Monthly Financial Plan · Torque'!K8*'Torque Assumptions · Tier prici'!F6*'Torque Assumptions · Tier prici'!D6</f>
        <v>205.8797980634001</v>
      </c>
      <c r="L25" s="18">
        <f>'Monthly Financial Plan · Torque'!L8*'Torque Assumptions · Tier prici'!F6*'Torque Assumptions · Tier prici'!D6</f>
        <v>261.5932956361021</v>
      </c>
      <c r="M25" s="18">
        <f>'Monthly Financial Plan · Torque'!M8*'Torque Assumptions · Tier prici'!F6*'Torque Assumptions · Tier prici'!D6</f>
        <v>331.022990199137</v>
      </c>
    </row>
    <row r="26" outlineLevel="1">
      <c r="A26" t="inlineStr" s="13">
        <is>
          <t xml:space="preserve">Team</t>
        </is>
      </c>
      <c r="B26" s="18">
        <f>'Monthly Financial Plan · Torque'!B9*'Torque Assumptions · Tier prici'!F7*'Torque Assumptions · Tier prici'!D7</f>
        <v>13.499999999999998</v>
      </c>
      <c r="C26" s="18">
        <f>'Monthly Financial Plan · Torque'!C9*'Torque Assumptions · Tier prici'!F7*'Torque Assumptions · Tier prici'!D7</f>
        <v>29.969999999999995</v>
      </c>
      <c r="D26" s="18">
        <f>'Monthly Financial Plan · Torque'!D9*'Torque Assumptions · Tier prici'!F7*'Torque Assumptions · Tier prici'!D7</f>
        <v>50.164649999999995</v>
      </c>
      <c r="E26" s="18">
        <f>'Monthly Financial Plan · Torque'!E9*'Torque Assumptions · Tier prici'!F7*'Torque Assumptions · Tier prici'!D7</f>
        <v>75.026898</v>
      </c>
      <c r="F26" s="18">
        <f>'Monthly Financial Plan · Torque'!F9*'Torque Assumptions · Tier prici'!F7*'Torque Assumptions · Tier prici'!D7</f>
        <v>105.735075435</v>
      </c>
      <c r="G26" s="18">
        <f>'Monthly Financial Plan · Torque'!G9*'Torque Assumptions · Tier prici'!F7*'Torque Assumptions · Tier prici'!D7</f>
        <v>143.76175364070002</v>
      </c>
      <c r="H26" s="18">
        <f>'Monthly Financial Plan · Torque'!H9*'Torque Assumptions · Tier prici'!F7*'Torque Assumptions · Tier prici'!D7</f>
        <v>190.94731411741648</v>
      </c>
      <c r="I26" s="18">
        <f>'Monthly Financial Plan · Torque'!I9*'Torque Assumptions · Tier prici'!F7*'Torque Assumptions · Tier prici'!D7</f>
        <v>249.59191105131586</v>
      </c>
      <c r="J26" s="18">
        <f>'Monthly Financial Plan · Torque'!J9*'Torque Assumptions · Tier prici'!F7*'Torque Assumptions · Tier prici'!D7</f>
        <v>322.5704241665537</v>
      </c>
      <c r="K26" s="18">
        <f>'Monthly Financial Plan · Torque'!K9*'Torque Assumptions · Tier prici'!F7*'Torque Assumptions · Tier prici'!D7</f>
        <v>413.4761495000288</v>
      </c>
      <c r="L26" s="18">
        <f>'Monthly Financial Plan · Torque'!L9*'Torque Assumptions · Tier prici'!F7*'Torque Assumptions · Tier prici'!D7</f>
        <v>526.8004125881175</v>
      </c>
      <c r="M26" s="18">
        <f>'Monthly Financial Plan · Torque'!M9*'Torque Assumptions · Tier prici'!F7*'Torque Assumptions · Tier prici'!D7</f>
        <v>668.1570846768361</v>
      </c>
    </row>
    <row r="27">
      <c r="A27" t="inlineStr" s="19">
        <is>
          <t xml:space="preserve">Total revenue</t>
        </is>
      </c>
      <c r="B27" s="20">
        <f>SUM('Monthly Financial Plan · Torque'!B20,'Monthly Financial Plan · Torque'!B21,'Monthly Financial Plan · Torque'!B22)+SUM('Monthly Financial Plan · Torque'!B24,'Monthly Financial Plan · Torque'!B25,'Monthly Financial Plan · Torque'!B26)</f>
        <v>349.4625</v>
      </c>
      <c r="C27" s="20">
        <f>SUM('Monthly Financial Plan · Torque'!C20,'Monthly Financial Plan · Torque'!C21,'Monthly Financial Plan · Torque'!C22)+SUM('Monthly Financial Plan · Torque'!C24,'Monthly Financial Plan · Torque'!C25,'Monthly Financial Plan · Torque'!C26)</f>
        <v>771.31725</v>
      </c>
      <c r="D27" s="20">
        <f>SUM('Monthly Financial Plan · Torque'!D20,'Monthly Financial Plan · Torque'!D21,'Monthly Financial Plan · Torque'!D22)+SUM('Monthly Financial Plan · Torque'!D24,'Monthly Financial Plan · Torque'!D25,'Monthly Financial Plan · Torque'!D26)</f>
        <v>1284.4040512499998</v>
      </c>
      <c r="E27" s="20">
        <f>SUM('Monthly Financial Plan · Torque'!E20,'Monthly Financial Plan · Torque'!E21,'Monthly Financial Plan · Torque'!E22)+SUM('Monthly Financial Plan · Torque'!E24,'Monthly Financial Plan · Torque'!E25,'Monthly Financial Plan · Torque'!E26)</f>
        <v>1912.230331275</v>
      </c>
      <c r="F27" s="20">
        <f>SUM('Monthly Financial Plan · Torque'!F20,'Monthly Financial Plan · Torque'!F21,'Monthly Financial Plan · Torque'!F22)+SUM('Monthly Financial Plan · Torque'!F24,'Monthly Financial Plan · Torque'!F25,'Monthly Financial Plan · Torque'!F26)</f>
        <v>2684.140759358625</v>
      </c>
      <c r="G27" s="20">
        <f>SUM('Monthly Financial Plan · Torque'!G20,'Monthly Financial Plan · Torque'!G21,'Monthly Financial Plan · Torque'!G22)+SUM('Monthly Financial Plan · Torque'!G24,'Monthly Financial Plan · Torque'!G25,'Monthly Financial Plan · Torque'!G26)</f>
        <v>3636.7790778225226</v>
      </c>
      <c r="H27" s="20">
        <f>SUM('Monthly Financial Plan · Torque'!H20,'Monthly Financial Plan · Torque'!H21,'Monthly Financial Plan · Torque'!H22)+SUM('Monthly Financial Plan · Torque'!H24,'Monthly Financial Plan · Torque'!H25,'Monthly Financial Plan · Torque'!H26)</f>
        <v>4815.915216820954</v>
      </c>
      <c r="I27" s="20">
        <f>SUM('Monthly Financial Plan · Torque'!I20,'Monthly Financial Plan · Torque'!I21,'Monthly Financial Plan · Torque'!I22)+SUM('Monthly Financial Plan · Torque'!I24,'Monthly Financial Plan · Torque'!I25,'Monthly Financial Plan · Torque'!I26)</f>
        <v>6278.729026257304</v>
      </c>
      <c r="J27" s="20">
        <f>SUM('Monthly Financial Plan · Torque'!J20,'Monthly Financial Plan · Torque'!J21,'Monthly Financial Plan · Torque'!J22)+SUM('Monthly Financial Plan · Torque'!J24,'Monthly Financial Plan · Torque'!J25,'Monthly Financial Plan · Torque'!J26)</f>
        <v>8096.664790868954</v>
      </c>
      <c r="K27" s="20">
        <f>SUM('Monthly Financial Plan · Torque'!K20,'Monthly Financial Plan · Torque'!K21,'Monthly Financial Plan · Torque'!K22)+SUM('Monthly Financial Plan · Torque'!K24,'Monthly Financial Plan · Torque'!K25,'Monthly Financial Plan · Torque'!K26)</f>
        <v>10358.99923515088</v>
      </c>
      <c r="L27" s="20">
        <f>SUM('Monthly Financial Plan · Torque'!L20,'Monthly Financial Plan · Torque'!L21,'Monthly Financial Plan · Torque'!L22)+SUM('Monthly Financial Plan · Torque'!L24,'Monthly Financial Plan · Torque'!L25,'Monthly Financial Plan · Torque'!L26)</f>
        <v>13177.301400636745</v>
      </c>
      <c r="M27" s="20">
        <f>SUM('Monthly Financial Plan · Torque'!M20,'Monthly Financial Plan · Torque'!M21,'Monthly Financial Plan · Torque'!M22)+SUM('Monthly Financial Plan · Torque'!M24,'Monthly Financial Plan · Torque'!M25,'Monthly Financial Plan · Torque'!M26)</f>
        <v>16691.007372929802</v>
      </c>
    </row>
    <row r="28">
      <c r="A28" t="inlineStr" s="7">
        <is>
          <t xml:space="preserve">LLM token cost</t>
        </is>
      </c>
      <c r="B28" s="18">
        <f>SUM('Monthly Financial Plan · Torque'!B15,'Monthly Financial Plan · Torque'!B16,'Monthly Financial Plan · Torque'!B17)*'Unit Economics &amp; Sensitivity ·'!B8</f>
        <v>134.623125</v>
      </c>
      <c r="C28" s="18">
        <f>SUM('Monthly Financial Plan · Torque'!C15,'Monthly Financial Plan · Torque'!C16,'Monthly Financial Plan · Torque'!C17)*'Unit Economics &amp; Sensitivity ·'!B8</f>
        <v>297.223875</v>
      </c>
      <c r="D28" s="18">
        <f>SUM('Monthly Financial Plan · Torque'!D15,'Monthly Financial Plan · Torque'!D16,'Monthly Financial Plan · Torque'!D17)*'Unit Economics &amp; Sensitivity ·'!B8</f>
        <v>495.0742021875001</v>
      </c>
      <c r="E28" s="18">
        <f>SUM('Monthly Financial Plan · Torque'!E15,'Monthly Financial Plan · Torque'!E16,'Monthly Financial Plan · Torque'!E17)*'Unit Economics &amp; Sensitivity ·'!B8</f>
        <v>737.24834210625</v>
      </c>
      <c r="F28" s="18">
        <f>SUM('Monthly Financial Plan · Torque'!F15,'Monthly Financial Plan · Torque'!F16,'Monthly Financial Plan · Torque'!F17)*'Unit Economics &amp; Sensitivity ·'!B8</f>
        <v>1035.074386011656</v>
      </c>
      <c r="G28" s="18">
        <f>SUM('Monthly Financial Plan · Torque'!G15,'Monthly Financial Plan · Torque'!G16,'Monthly Financial Plan · Torque'!G17)*'Unit Economics &amp; Sensitivity ·'!B8</f>
        <v>1402.6986768339675</v>
      </c>
      <c r="H28" s="18">
        <f>SUM('Monthly Financial Plan · Torque'!H15,'Monthly Financial Plan · Torque'!H16,'Monthly Financial Plan · Torque'!H17)*'Unit Economics &amp; Sensitivity ·'!B8</f>
        <v>1857.7912397407415</v>
      </c>
      <c r="I28" s="18">
        <f>SUM('Monthly Financial Plan · Torque'!I15,'Monthly Financial Plan · Torque'!I16,'Monthly Financial Plan · Torque'!I17)*'Unit Economics &amp; Sensitivity ·'!B8</f>
        <v>2422.4275106523564</v>
      </c>
      <c r="J28" s="18">
        <f>SUM('Monthly Financial Plan · Torque'!J15,'Monthly Financial Plan · Torque'!J16,'Monthly Financial Plan · Torque'!J17)*'Unit Economics &amp; Sensitivity ·'!B8</f>
        <v>3124.1904415469917</v>
      </c>
      <c r="K28" s="18">
        <f>SUM('Monthly Financial Plan · Torque'!K15,'Monthly Financial Plan · Torque'!K16,'Monthly Financial Plan · Torque'!K17)*'Unit Economics &amp; Sensitivity ·'!B8</f>
        <v>3997.548080772316</v>
      </c>
      <c r="L28" s="18">
        <f>SUM('Monthly Financial Plan · Torque'!L15,'Monthly Financial Plan · Torque'!L16,'Monthly Financial Plan · Torque'!L17)*'Unit Economics &amp; Sensitivity ·'!B8</f>
        <v>5085.575500832473</v>
      </c>
      <c r="M28" s="18">
        <f>SUM('Monthly Financial Plan · Torque'!M15,'Monthly Financial Plan · Torque'!M16,'Monthly Financial Plan · Torque'!M17)*'Unit Economics &amp; Sensitivity ·'!B8</f>
        <v>6442.10716395653</v>
      </c>
    </row>
    <row r="29">
      <c r="A29" t="inlineStr" s="7">
        <is>
          <t xml:space="preserve">Sandbox compute cost</t>
        </is>
      </c>
      <c r="B29" s="18">
        <f>SUM('Monthly Financial Plan · Torque'!B15,'Monthly Financial Plan · Torque'!B16,'Monthly Financial Plan · Torque'!B17)*'Unit Economics &amp; Sensitivity ·'!B9</f>
        <v>10.76985</v>
      </c>
      <c r="C29" s="18">
        <f>SUM('Monthly Financial Plan · Torque'!C15,'Monthly Financial Plan · Torque'!C16,'Monthly Financial Plan · Torque'!C17)*'Unit Economics &amp; Sensitivity ·'!B9</f>
        <v>23.77791</v>
      </c>
      <c r="D29" s="18">
        <f>SUM('Monthly Financial Plan · Torque'!D15,'Monthly Financial Plan · Torque'!D16,'Monthly Financial Plan · Torque'!D17)*'Unit Economics &amp; Sensitivity ·'!B9</f>
        <v>39.605936175000004</v>
      </c>
      <c r="E29" s="18">
        <f>SUM('Monthly Financial Plan · Torque'!E15,'Monthly Financial Plan · Torque'!E16,'Monthly Financial Plan · Torque'!E17)*'Unit Economics &amp; Sensitivity ·'!B9</f>
        <v>58.979867368499995</v>
      </c>
      <c r="F29" s="18">
        <f>SUM('Monthly Financial Plan · Torque'!F15,'Monthly Financial Plan · Torque'!F16,'Monthly Financial Plan · Torque'!F17)*'Unit Economics &amp; Sensitivity ·'!B9</f>
        <v>82.80595088093249</v>
      </c>
      <c r="G29" s="18">
        <f>SUM('Monthly Financial Plan · Torque'!G15,'Monthly Financial Plan · Torque'!G16,'Monthly Financial Plan · Torque'!G17)*'Unit Economics &amp; Sensitivity ·'!B9</f>
        <v>112.2158941467174</v>
      </c>
      <c r="H29" s="18">
        <f>SUM('Monthly Financial Plan · Torque'!H15,'Monthly Financial Plan · Torque'!H16,'Monthly Financial Plan · Torque'!H17)*'Unit Economics &amp; Sensitivity ·'!B9</f>
        <v>148.6232991792593</v>
      </c>
      <c r="I29" s="18">
        <f>SUM('Monthly Financial Plan · Torque'!I15,'Monthly Financial Plan · Torque'!I16,'Monthly Financial Plan · Torque'!I17)*'Unit Economics &amp; Sensitivity ·'!B9</f>
        <v>193.7942008521885</v>
      </c>
      <c r="J29" s="18">
        <f>SUM('Monthly Financial Plan · Torque'!J15,'Monthly Financial Plan · Torque'!J16,'Monthly Financial Plan · Torque'!J17)*'Unit Economics &amp; Sensitivity ·'!B9</f>
        <v>249.93523532375931</v>
      </c>
      <c r="K29" s="18">
        <f>SUM('Monthly Financial Plan · Torque'!K15,'Monthly Financial Plan · Torque'!K16,'Monthly Financial Plan · Torque'!K17)*'Unit Economics &amp; Sensitivity ·'!B9</f>
        <v>319.80384646178527</v>
      </c>
      <c r="L29" s="18">
        <f>SUM('Monthly Financial Plan · Torque'!L15,'Monthly Financial Plan · Torque'!L16,'Monthly Financial Plan · Torque'!L17)*'Unit Economics &amp; Sensitivity ·'!B9</f>
        <v>406.84604006659777</v>
      </c>
      <c r="M29" s="18">
        <f>SUM('Monthly Financial Plan · Torque'!M15,'Monthly Financial Plan · Torque'!M16,'Monthly Financial Plan · Torque'!M17)*'Unit Economics &amp; Sensitivity ·'!B9</f>
        <v>515.3685731165224</v>
      </c>
    </row>
    <row r="30">
      <c r="A30" t="inlineStr" s="7">
        <is>
          <t xml:space="preserve">Observability and context cost</t>
        </is>
      </c>
      <c r="B30" s="18">
        <f>SUM('Monthly Financial Plan · Torque'!B15,'Monthly Financial Plan · Torque'!B16,'Monthly Financial Plan · Torque'!B17)*('Torque Assumptions · Run cost a'!B14+'Torque Assumptions · Run cost a'!B15)</f>
        <v>2.7615</v>
      </c>
      <c r="C30" s="18">
        <f>SUM('Monthly Financial Plan · Torque'!C15,'Monthly Financial Plan · Torque'!C16,'Monthly Financial Plan · Torque'!C17)*('Torque Assumptions · Run cost a'!B14+'Torque Assumptions · Run cost a'!B15)</f>
        <v>6.0969</v>
      </c>
      <c r="D30" s="18">
        <f>SUM('Monthly Financial Plan · Torque'!D15,'Monthly Financial Plan · Torque'!D16,'Monthly Financial Plan · Torque'!D17)*('Torque Assumptions · Run cost a'!B14+'Torque Assumptions · Run cost a'!B15)</f>
        <v>10.15536825</v>
      </c>
      <c r="E30" s="18">
        <f>SUM('Monthly Financial Plan · Torque'!E15,'Monthly Financial Plan · Torque'!E16,'Monthly Financial Plan · Torque'!E17)*('Torque Assumptions · Run cost a'!B14+'Torque Assumptions · Run cost a'!B15)</f>
        <v>15.123042915</v>
      </c>
      <c r="F30" s="18">
        <f>SUM('Monthly Financial Plan · Torque'!F15,'Monthly Financial Plan · Torque'!F16,'Monthly Financial Plan · Torque'!F17)*('Torque Assumptions · Run cost a'!B14+'Torque Assumptions · Run cost a'!B15)</f>
        <v>21.232295097674996</v>
      </c>
      <c r="G30" s="18">
        <f>SUM('Monthly Financial Plan · Torque'!G15,'Monthly Financial Plan · Torque'!G16,'Monthly Financial Plan · Torque'!G17)*('Torque Assumptions · Run cost a'!B14+'Torque Assumptions · Run cost a'!B15)</f>
        <v>28.773306191466</v>
      </c>
      <c r="H30" s="18">
        <f>SUM('Monthly Financial Plan · Torque'!H15,'Monthly Financial Plan · Torque'!H16,'Monthly Financial Plan · Torque'!H17)*('Torque Assumptions · Run cost a'!B14+'Torque Assumptions · Run cost a'!B15)</f>
        <v>38.108538251092135</v>
      </c>
      <c r="I30" s="18">
        <f>SUM('Monthly Financial Plan · Torque'!I15,'Monthly Financial Plan · Torque'!I16,'Monthly Financial Plan · Torque'!I17)*('Torque Assumptions · Run cost a'!B14+'Torque Assumptions · Run cost a'!B15)</f>
        <v>49.69082073133039</v>
      </c>
      <c r="J30" s="18">
        <f>SUM('Monthly Financial Plan · Torque'!J15,'Monthly Financial Plan · Torque'!J16,'Monthly Financial Plan · Torque'!J17)*('Torque Assumptions · Run cost a'!B14+'Torque Assumptions · Run cost a'!B15)</f>
        <v>64.08595777532291</v>
      </c>
      <c r="K30" s="18">
        <f>SUM('Monthly Financial Plan · Torque'!K15,'Monthly Financial Plan · Torque'!K16,'Monthly Financial Plan · Torque'!K17)*('Torque Assumptions · Run cost a'!B14+'Torque Assumptions · Run cost a'!B15)</f>
        <v>82.00098627225263</v>
      </c>
      <c r="L30" s="18">
        <f>SUM('Monthly Financial Plan · Torque'!L15,'Monthly Financial Plan · Torque'!L16,'Monthly Financial Plan · Torque'!L17)*('Torque Assumptions · Run cost a'!B14+'Torque Assumptions · Run cost a'!B15)</f>
        <v>104.31949745297379</v>
      </c>
      <c r="M30" s="18">
        <f>SUM('Monthly Financial Plan · Torque'!M15,'Monthly Financial Plan · Torque'!M16,'Monthly Financial Plan · Torque'!M17)*('Torque Assumptions · Run cost a'!B14+'Torque Assumptions · Run cost a'!B15)</f>
        <v>132.14578797859548</v>
      </c>
    </row>
    <row r="31">
      <c r="A31" t="inlineStr" s="7">
        <is>
          <t xml:space="preserve">Storage cost</t>
        </is>
      </c>
      <c r="B31" s="18">
        <f>SUM('Monthly Financial Plan · Torque'!B15,'Monthly Financial Plan · Torque'!B16,'Monthly Financial Plan · Torque'!B17)*'Torque Assumptions · Run cost a'!B16</f>
        <v>0.690375</v>
      </c>
      <c r="C31" s="18">
        <f>SUM('Monthly Financial Plan · Torque'!C15,'Monthly Financial Plan · Torque'!C16,'Monthly Financial Plan · Torque'!C17)*'Torque Assumptions · Run cost a'!B16</f>
        <v>1.524225</v>
      </c>
      <c r="D31" s="18">
        <f>SUM('Monthly Financial Plan · Torque'!D15,'Monthly Financial Plan · Torque'!D16,'Monthly Financial Plan · Torque'!D17)*'Torque Assumptions · Run cost a'!B16</f>
        <v>2.5388420625</v>
      </c>
      <c r="E31" s="18">
        <f>SUM('Monthly Financial Plan · Torque'!E15,'Monthly Financial Plan · Torque'!E16,'Monthly Financial Plan · Torque'!E17)*'Torque Assumptions · Run cost a'!B16</f>
        <v>3.78076072875</v>
      </c>
      <c r="F31" s="18">
        <f>SUM('Monthly Financial Plan · Torque'!F15,'Monthly Financial Plan · Torque'!F16,'Monthly Financial Plan · Torque'!F17)*'Torque Assumptions · Run cost a'!B16</f>
        <v>5.308073774418749</v>
      </c>
      <c r="G31" s="18">
        <f>SUM('Monthly Financial Plan · Torque'!G15,'Monthly Financial Plan · Torque'!G16,'Monthly Financial Plan · Torque'!G17)*'Torque Assumptions · Run cost a'!B16</f>
        <v>7.1933265478665</v>
      </c>
      <c r="H31" s="18">
        <f>SUM('Monthly Financial Plan · Torque'!H15,'Monthly Financial Plan · Torque'!H16,'Monthly Financial Plan · Torque'!H17)*'Torque Assumptions · Run cost a'!B16</f>
        <v>9.527134562773034</v>
      </c>
      <c r="I31" s="18">
        <f>SUM('Monthly Financial Plan · Torque'!I15,'Monthly Financial Plan · Torque'!I16,'Monthly Financial Plan · Torque'!I17)*'Torque Assumptions · Run cost a'!B16</f>
        <v>12.422705182832598</v>
      </c>
      <c r="J31" s="18">
        <f>SUM('Monthly Financial Plan · Torque'!J15,'Monthly Financial Plan · Torque'!J16,'Monthly Financial Plan · Torque'!J17)*'Torque Assumptions · Run cost a'!B16</f>
        <v>16.021489443830728</v>
      </c>
      <c r="K31" s="18">
        <f>SUM('Monthly Financial Plan · Torque'!K15,'Monthly Financial Plan · Torque'!K16,'Monthly Financial Plan · Torque'!K17)*'Torque Assumptions · Run cost a'!B16</f>
        <v>20.500246568063158</v>
      </c>
      <c r="L31" s="18">
        <f>SUM('Monthly Financial Plan · Torque'!L15,'Monthly Financial Plan · Torque'!L16,'Monthly Financial Plan · Torque'!L17)*'Torque Assumptions · Run cost a'!B16</f>
        <v>26.079874363243448</v>
      </c>
      <c r="M31" s="18">
        <f>SUM('Monthly Financial Plan · Torque'!M15,'Monthly Financial Plan · Torque'!M16,'Monthly Financial Plan · Torque'!M17)*'Torque Assumptions · Run cost a'!B16</f>
        <v>33.03644699464887</v>
      </c>
    </row>
    <row r="32">
      <c r="A32" t="inlineStr" s="7">
        <is>
          <t xml:space="preserve">Hosting cost</t>
        </is>
      </c>
      <c r="B32" s="18">
        <f>IF('Torque Assumptions · Growth &amp; o'!B7="","",'Torque Assumptions · Growth &amp; o'!B7)</f>
        <v>150</v>
      </c>
      <c r="C32" s="18">
        <f>IF('Torque Assumptions · Growth &amp; o'!B7="","",'Torque Assumptions · Growth &amp; o'!B7)</f>
        <v>150</v>
      </c>
      <c r="D32" s="18">
        <f>IF('Torque Assumptions · Growth &amp; o'!B7="","",'Torque Assumptions · Growth &amp; o'!B7)</f>
        <v>150</v>
      </c>
      <c r="E32" s="18">
        <f>IF('Torque Assumptions · Growth &amp; o'!B7="","",'Torque Assumptions · Growth &amp; o'!B7)</f>
        <v>150</v>
      </c>
      <c r="F32" s="18">
        <f>IF('Torque Assumptions · Growth &amp; o'!B7="","",'Torque Assumptions · Growth &amp; o'!B7)</f>
        <v>150</v>
      </c>
      <c r="G32" s="18">
        <f>IF('Torque Assumptions · Growth &amp; o'!B7="","",'Torque Assumptions · Growth &amp; o'!B7)</f>
        <v>150</v>
      </c>
      <c r="H32" s="18">
        <f>IF('Torque Assumptions · Growth &amp; o'!B7="","",'Torque Assumptions · Growth &amp; o'!B7)</f>
        <v>150</v>
      </c>
      <c r="I32" s="18">
        <f>IF('Torque Assumptions · Growth &amp; o'!B7="","",'Torque Assumptions · Growth &amp; o'!B7)</f>
        <v>150</v>
      </c>
      <c r="J32" s="18">
        <f>IF('Torque Assumptions · Growth &amp; o'!B7="","",'Torque Assumptions · Growth &amp; o'!B7)</f>
        <v>150</v>
      </c>
      <c r="K32" s="18">
        <f>IF('Torque Assumptions · Growth &amp; o'!B7="","",'Torque Assumptions · Growth &amp; o'!B7)</f>
        <v>150</v>
      </c>
      <c r="L32" s="18">
        <f>IF('Torque Assumptions · Growth &amp; o'!B7="","",'Torque Assumptions · Growth &amp; o'!B7)</f>
        <v>150</v>
      </c>
      <c r="M32" s="18">
        <f>IF('Torque Assumptions · Growth &amp; o'!B7="","",'Torque Assumptions · Growth &amp; o'!B7)</f>
        <v>150</v>
      </c>
    </row>
    <row r="33">
      <c r="A33" t="inlineStr" s="7">
        <is>
          <t xml:space="preserve">Payment processing cost</t>
        </is>
      </c>
      <c r="B33" s="18">
        <f>'Monthly Financial Plan · Torque'!B27*'Torque Assumptions · Growth &amp; o'!B13+SUM('Monthly Financial Plan · Torque'!B7,'Monthly Financial Plan · Torque'!B8,'Monthly Financial Plan · Torque'!B9)*'Torque Assumptions · Growth &amp; o'!B14</f>
        <v>11.0344125</v>
      </c>
      <c r="C33" s="18">
        <f>'Monthly Financial Plan · Torque'!C27*'Torque Assumptions · Growth &amp; o'!B13+SUM('Monthly Financial Plan · Torque'!C7,'Monthly Financial Plan · Torque'!C8,'Monthly Financial Plan · Torque'!C9)*'Torque Assumptions · Growth &amp; o'!B14</f>
        <v>24.33740025</v>
      </c>
      <c r="D33" s="18">
        <f>'Monthly Financial Plan · Torque'!D27*'Torque Assumptions · Growth &amp; o'!B13+SUM('Monthly Financial Plan · Torque'!D7,'Monthly Financial Plan · Torque'!D8,'Monthly Financial Plan · Torque'!D9)*'Torque Assumptions · Growth &amp; o'!B14</f>
        <v>40.50140648625</v>
      </c>
      <c r="E33" s="18">
        <f>'Monthly Financial Plan · Torque'!E27*'Torque Assumptions · Growth &amp; o'!B13+SUM('Monthly Financial Plan · Torque'!E7,'Monthly Financial Plan · Torque'!E8,'Monthly Financial Plan · Torque'!E9)*'Torque Assumptions · Growth &amp; o'!B14</f>
        <v>60.26548443697501</v>
      </c>
      <c r="F33" s="18">
        <f>'Monthly Financial Plan · Torque'!F27*'Torque Assumptions · Growth &amp; o'!B13+SUM('Monthly Financial Plan · Torque'!F7,'Monthly Financial Plan · Torque'!F8,'Monthly Financial Plan · Torque'!F9)*'Torque Assumptions · Growth &amp; o'!B14</f>
        <v>84.55204888900013</v>
      </c>
      <c r="G33" s="18">
        <f>'Monthly Financial Plan · Torque'!G27*'Torque Assumptions · Growth &amp; o'!B13+SUM('Monthly Financial Plan · Torque'!G7,'Monthly Financial Plan · Torque'!G8,'Monthly Financial Plan · Torque'!G9)*'Torque Assumptions · Growth &amp; o'!B14</f>
        <v>114.51280861557515</v>
      </c>
      <c r="H33" s="18">
        <f>'Monthly Financial Plan · Torque'!H27*'Torque Assumptions · Growth &amp; o'!B13+SUM('Monthly Financial Plan · Torque'!H7,'Monthly Financial Plan · Torque'!H8,'Monthly Financial Plan · Torque'!H9)*'Torque Assumptions · Growth &amp; o'!B14</f>
        <v>151.58617540302726</v>
      </c>
      <c r="I33" s="18">
        <f>'Monthly Financial Plan · Torque'!I27*'Torque Assumptions · Growth &amp; o'!B13+SUM('Monthly Financial Plan · Torque'!I7,'Monthly Financial Plan · Torque'!I8,'Monthly Financial Plan · Torque'!I9)*'Torque Assumptions · Growth &amp; o'!B14</f>
        <v>197.56901930835772</v>
      </c>
      <c r="J33" s="18">
        <f>'Monthly Financial Plan · Torque'!J27*'Torque Assumptions · Growth &amp; o'!B13+SUM('Monthly Financial Plan · Torque'!J7,'Monthly Financial Plan · Torque'!J8,'Monthly Financial Plan · Torque'!J9)*'Torque Assumptions · Growth &amp; o'!B14</f>
        <v>254.70635715111158</v>
      </c>
      <c r="K33" s="18">
        <f>'Monthly Financial Plan · Torque'!K27*'Torque Assumptions · Growth &amp; o'!B13+SUM('Monthly Financial Plan · Torque'!K7,'Monthly Financial Plan · Torque'!K8,'Monthly Financial Plan · Torque'!K9)*'Torque Assumptions · Growth &amp; o'!B14</f>
        <v>325.803457959726</v>
      </c>
      <c r="L33" s="18">
        <f>'Monthly Financial Plan · Torque'!L27*'Torque Assumptions · Growth &amp; o'!B13+SUM('Monthly Financial Plan · Torque'!L7,'Monthly Financial Plan · Torque'!L8,'Monthly Financial Plan · Torque'!L9)*'Torque Assumptions · Growth &amp; o'!B14</f>
        <v>414.36596999129523</v>
      </c>
      <c r="M33" s="18">
        <f>'Monthly Financial Plan · Torque'!M27*'Torque Assumptions · Growth &amp; o'!B13+SUM('Monthly Financial Plan · Torque'!M7,'Monthly Financial Plan · Torque'!M8,'Monthly Financial Plan · Torque'!M9)*'Torque Assumptions · Growth &amp; o'!B14</f>
        <v>524.7750750695338</v>
      </c>
    </row>
    <row r="34">
      <c r="A34" t="inlineStr" s="19">
        <is>
          <t xml:space="preserve">Cost of revenue</t>
        </is>
      </c>
      <c r="B34" s="20">
        <f>'Monthly Financial Plan · Torque'!B28+'Monthly Financial Plan · Torque'!B29+'Monthly Financial Plan · Torque'!B30+'Monthly Financial Plan · Torque'!B31+'Monthly Financial Plan · Torque'!B32+'Monthly Financial Plan · Torque'!B33</f>
        <v>309.8792625</v>
      </c>
      <c r="C34" s="20">
        <f>'Monthly Financial Plan · Torque'!C28+'Monthly Financial Plan · Torque'!C29+'Monthly Financial Plan · Torque'!C30+'Monthly Financial Plan · Torque'!C31+'Monthly Financial Plan · Torque'!C32+'Monthly Financial Plan · Torque'!C33</f>
        <v>502.96031025</v>
      </c>
      <c r="D34" s="20">
        <f>'Monthly Financial Plan · Torque'!D28+'Monthly Financial Plan · Torque'!D29+'Monthly Financial Plan · Torque'!D30+'Monthly Financial Plan · Torque'!D31+'Monthly Financial Plan · Torque'!D32+'Monthly Financial Plan · Torque'!D33</f>
        <v>737.8757551612501</v>
      </c>
      <c r="E34" s="20">
        <f>'Monthly Financial Plan · Torque'!E28+'Monthly Financial Plan · Torque'!E29+'Monthly Financial Plan · Torque'!E30+'Monthly Financial Plan · Torque'!E31+'Monthly Financial Plan · Torque'!E32+'Monthly Financial Plan · Torque'!E33</f>
        <v>1025.397497555475</v>
      </c>
      <c r="F34" s="20">
        <f>'Monthly Financial Plan · Torque'!F28+'Monthly Financial Plan · Torque'!F29+'Monthly Financial Plan · Torque'!F30+'Monthly Financial Plan · Torque'!F31+'Monthly Financial Plan · Torque'!F32+'Monthly Financial Plan · Torque'!F33</f>
        <v>1378.9727546536824</v>
      </c>
      <c r="G34" s="20">
        <f>'Monthly Financial Plan · Torque'!G28+'Monthly Financial Plan · Torque'!G29+'Monthly Financial Plan · Torque'!G30+'Monthly Financial Plan · Torque'!G31+'Monthly Financial Plan · Torque'!G32+'Monthly Financial Plan · Torque'!G33</f>
        <v>1815.3940123355924</v>
      </c>
      <c r="H34" s="20">
        <f>'Monthly Financial Plan · Torque'!H28+'Monthly Financial Plan · Torque'!H29+'Monthly Financial Plan · Torque'!H30+'Monthly Financial Plan · Torque'!H31+'Monthly Financial Plan · Torque'!H32+'Monthly Financial Plan · Torque'!H33</f>
        <v>2355.636387136893</v>
      </c>
      <c r="I34" s="20">
        <f>'Monthly Financial Plan · Torque'!I28+'Monthly Financial Plan · Torque'!I29+'Monthly Financial Plan · Torque'!I30+'Monthly Financial Plan · Torque'!I31+'Monthly Financial Plan · Torque'!I32+'Monthly Financial Plan · Torque'!I33</f>
        <v>3025.904256727066</v>
      </c>
      <c r="J34" s="20">
        <f>'Monthly Financial Plan · Torque'!J28+'Monthly Financial Plan · Torque'!J29+'Monthly Financial Plan · Torque'!J30+'Monthly Financial Plan · Torque'!J31+'Monthly Financial Plan · Torque'!J32+'Monthly Financial Plan · Torque'!J33</f>
        <v>3858.9394812410164</v>
      </c>
      <c r="K34" s="20">
        <f>'Monthly Financial Plan · Torque'!K28+'Monthly Financial Plan · Torque'!K29+'Monthly Financial Plan · Torque'!K30+'Monthly Financial Plan · Torque'!K31+'Monthly Financial Plan · Torque'!K32+'Monthly Financial Plan · Torque'!K33</f>
        <v>4895.656618034143</v>
      </c>
      <c r="L34" s="20">
        <f>'Monthly Financial Plan · Torque'!L28+'Monthly Financial Plan · Torque'!L29+'Monthly Financial Plan · Torque'!L30+'Monthly Financial Plan · Torque'!L31+'Monthly Financial Plan · Torque'!L32+'Monthly Financial Plan · Torque'!L33</f>
        <v>6187.186882706585</v>
      </c>
      <c r="M34" s="20">
        <f>'Monthly Financial Plan · Torque'!M28+'Monthly Financial Plan · Torque'!M29+'Monthly Financial Plan · Torque'!M30+'Monthly Financial Plan · Torque'!M31+'Monthly Financial Plan · Torque'!M32+'Monthly Financial Plan · Torque'!M33</f>
        <v>7797.433047115831</v>
      </c>
    </row>
    <row r="35">
      <c r="A35" t="inlineStr" s="19">
        <is>
          <t xml:space="preserve">Gross profit before credits</t>
        </is>
      </c>
      <c r="B35" s="20">
        <f>'Monthly Financial Plan · Torque'!B27-'Monthly Financial Plan · Torque'!B34</f>
        <v>39.583237499999996</v>
      </c>
      <c r="C35" s="20">
        <f>'Monthly Financial Plan · Torque'!C27-'Monthly Financial Plan · Torque'!C34</f>
        <v>268.3569397499999</v>
      </c>
      <c r="D35" s="20">
        <f>'Monthly Financial Plan · Torque'!D27-'Monthly Financial Plan · Torque'!D34</f>
        <v>546.5282960887497</v>
      </c>
      <c r="E35" s="20">
        <f>'Monthly Financial Plan · Torque'!E27-'Monthly Financial Plan · Torque'!E34</f>
        <v>886.8328337195251</v>
      </c>
      <c r="F35" s="20">
        <f>'Monthly Financial Plan · Torque'!F27-'Monthly Financial Plan · Torque'!F34</f>
        <v>1305.1680047049426</v>
      </c>
      <c r="G35" s="20">
        <f>'Monthly Financial Plan · Torque'!G27-'Monthly Financial Plan · Torque'!G34</f>
        <v>1821.3850654869302</v>
      </c>
      <c r="H35" s="20">
        <f>'Monthly Financial Plan · Torque'!H27-'Monthly Financial Plan · Torque'!H34</f>
        <v>2460.278829684061</v>
      </c>
      <c r="I35" s="20">
        <f>'Monthly Financial Plan · Torque'!I27-'Monthly Financial Plan · Torque'!I34</f>
        <v>3252.8247695302384</v>
      </c>
      <c r="J35" s="20">
        <f>'Monthly Financial Plan · Torque'!J27-'Monthly Financial Plan · Torque'!J34</f>
        <v>4237.725309627937</v>
      </c>
      <c r="K35" s="20">
        <f>'Monthly Financial Plan · Torque'!K27-'Monthly Financial Plan · Torque'!K34</f>
        <v>5463.3426171167375</v>
      </c>
      <c r="L35" s="20">
        <f>'Monthly Financial Plan · Torque'!L27-'Monthly Financial Plan · Torque'!L34</f>
        <v>6990.11451793016</v>
      </c>
      <c r="M35" s="20">
        <f>'Monthly Financial Plan · Torque'!M27-'Monthly Financial Plan · Torque'!M34</f>
        <v>8893.57432581397</v>
      </c>
    </row>
    <row r="36">
      <c r="A36" t="inlineStr" s="7">
        <is>
          <t xml:space="preserve">Gross margin before credits</t>
        </is>
      </c>
      <c r="B36" s="21">
        <f>IFERROR('Monthly Financial Plan · Torque'!B35/'Monthly Financial Plan · Torque'!B27,"")</f>
        <v>0.113268912973495</v>
      </c>
      <c r="C36" s="21">
        <f>IFERROR('Monthly Financial Plan · Torque'!C35/'Monthly Financial Plan · Torque'!C27,"")</f>
        <v>0.3479203139175222</v>
      </c>
      <c r="D36" s="21">
        <f>IFERROR('Monthly Financial Plan · Torque'!D35/'Monthly Financial Plan · Torque'!D27,"")</f>
        <v>0.4255111898447072</v>
      </c>
      <c r="E36" s="21">
        <f>IFERROR('Monthly Financial Plan · Torque'!E35/'Monthly Financial Plan · Torque'!E27,"")</f>
        <v>0.4637688353830366</v>
      </c>
      <c r="F36" s="21">
        <f>IFERROR('Monthly Financial Plan · Torque'!F35/'Monthly Financial Plan · Torque'!F27,"")</f>
        <v>0.4862516990416003</v>
      </c>
      <c r="G36" s="21">
        <f>IFERROR('Monthly Financial Plan · Torque'!G35/'Monthly Financial Plan · Torque'!G27,"")</f>
        <v>0.5008236757063238</v>
      </c>
      <c r="H36" s="21">
        <f>IFERROR('Monthly Financial Plan · Torque'!H35/'Monthly Financial Plan · Torque'!H27,"")</f>
        <v>0.5108642322212893</v>
      </c>
      <c r="I36" s="21">
        <f>IFERROR('Monthly Financial Plan · Torque'!I35/'Monthly Financial Plan · Torque'!I27,"")</f>
        <v>0.5180705770112234</v>
      </c>
      <c r="J36" s="21">
        <f>IFERROR('Monthly Financial Plan · Torque'!J35/'Monthly Financial Plan · Torque'!J27,"")</f>
        <v>0.5233914727959406</v>
      </c>
      <c r="K36" s="21">
        <f>IFERROR('Monthly Financial Plan · Torque'!K35/'Monthly Financial Plan · Torque'!K27,"")</f>
        <v>0.5274006197990768</v>
      </c>
      <c r="L36" s="21">
        <f>IFERROR('Monthly Financial Plan · Torque'!L35/'Monthly Financial Plan · Torque'!L27,"")</f>
        <v>0.5304663151737873</v>
      </c>
      <c r="M36" s="21">
        <f>IFERROR('Monthly Financial Plan · Torque'!M35/'Monthly Financial Plan · Torque'!M27,"")</f>
        <v>0.5328362828619891</v>
      </c>
    </row>
    <row r="37">
      <c r="A37" t="inlineStr" s="7">
        <is>
          <t xml:space="preserve">Hackathon credits available</t>
        </is>
      </c>
      <c r="B37" s="18">
        <f>45</f>
        <v>45</v>
      </c>
      <c r="C37" s="18">
        <f>0</f>
        <v>0</v>
      </c>
      <c r="D37" s="18">
        <f>0</f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</row>
    <row r="38">
      <c r="A38" t="inlineStr" s="7">
        <is>
          <t xml:space="preserve">Hackathon credits applied</t>
        </is>
      </c>
      <c r="B38" s="18">
        <f>MIN('Monthly Financial Plan · Torque'!B37,'Monthly Financial Plan · Torque'!B28+'Monthly Financial Plan · Torque'!B29)</f>
        <v>45</v>
      </c>
      <c r="C38" s="18">
        <f>MIN('Monthly Financial Plan · Torque'!C37,'Monthly Financial Plan · Torque'!C28+'Monthly Financial Plan · Torque'!C29)</f>
        <v>0</v>
      </c>
      <c r="D38" s="18">
        <f>MIN('Monthly Financial Plan · Torque'!D37,'Monthly Financial Plan · Torque'!D28+'Monthly Financial Plan · Torque'!D29)</f>
        <v>0</v>
      </c>
      <c r="E38" s="18">
        <f>MIN('Monthly Financial Plan · Torque'!E37,'Monthly Financial Plan · Torque'!E28+'Monthly Financial Plan · Torque'!E29)</f>
        <v>0</v>
      </c>
      <c r="F38" s="18">
        <f>MIN('Monthly Financial Plan · Torque'!F37,'Monthly Financial Plan · Torque'!F28+'Monthly Financial Plan · Torque'!F29)</f>
        <v>0</v>
      </c>
      <c r="G38" s="18">
        <f>MIN('Monthly Financial Plan · Torque'!G37,'Monthly Financial Plan · Torque'!G28+'Monthly Financial Plan · Torque'!G29)</f>
        <v>0</v>
      </c>
      <c r="H38" s="18">
        <f>MIN('Monthly Financial Plan · Torque'!H37,'Monthly Financial Plan · Torque'!H28+'Monthly Financial Plan · Torque'!H29)</f>
        <v>0</v>
      </c>
      <c r="I38" s="18">
        <f>MIN('Monthly Financial Plan · Torque'!I37,'Monthly Financial Plan · Torque'!I28+'Monthly Financial Plan · Torque'!I29)</f>
        <v>0</v>
      </c>
      <c r="J38" s="18">
        <f>MIN('Monthly Financial Plan · Torque'!J37,'Monthly Financial Plan · Torque'!J28+'Monthly Financial Plan · Torque'!J29)</f>
        <v>0</v>
      </c>
      <c r="K38" s="18">
        <f>MIN('Monthly Financial Plan · Torque'!K37,'Monthly Financial Plan · Torque'!K28+'Monthly Financial Plan · Torque'!K29)</f>
        <v>0</v>
      </c>
      <c r="L38" s="18">
        <f>MIN('Monthly Financial Plan · Torque'!L37,'Monthly Financial Plan · Torque'!L28+'Monthly Financial Plan · Torque'!L29)</f>
        <v>0</v>
      </c>
      <c r="M38" s="18">
        <f>MIN('Monthly Financial Plan · Torque'!M37,'Monthly Financial Plan · Torque'!M28+'Monthly Financial Plan · Torque'!M29)</f>
        <v>0</v>
      </c>
    </row>
    <row r="39">
      <c r="A39" t="inlineStr" s="19">
        <is>
          <t xml:space="preserve">Gross profit after credits</t>
        </is>
      </c>
      <c r="B39" s="20">
        <f>'Monthly Financial Plan · Torque'!B35+'Monthly Financial Plan · Torque'!B38</f>
        <v>84.5832375</v>
      </c>
      <c r="C39" s="20">
        <f>'Monthly Financial Plan · Torque'!C35+'Monthly Financial Plan · Torque'!C38</f>
        <v>268.3569397499999</v>
      </c>
      <c r="D39" s="20">
        <f>'Monthly Financial Plan · Torque'!D35+'Monthly Financial Plan · Torque'!D38</f>
        <v>546.5282960887497</v>
      </c>
      <c r="E39" s="20">
        <f>'Monthly Financial Plan · Torque'!E35+'Monthly Financial Plan · Torque'!E38</f>
        <v>886.8328337195251</v>
      </c>
      <c r="F39" s="20">
        <f>'Monthly Financial Plan · Torque'!F35+'Monthly Financial Plan · Torque'!F38</f>
        <v>1305.1680047049426</v>
      </c>
      <c r="G39" s="20">
        <f>'Monthly Financial Plan · Torque'!G35+'Monthly Financial Plan · Torque'!G38</f>
        <v>1821.3850654869302</v>
      </c>
      <c r="H39" s="20">
        <f>'Monthly Financial Plan · Torque'!H35+'Monthly Financial Plan · Torque'!H38</f>
        <v>2460.278829684061</v>
      </c>
      <c r="I39" s="20">
        <f>'Monthly Financial Plan · Torque'!I35+'Monthly Financial Plan · Torque'!I38</f>
        <v>3252.8247695302384</v>
      </c>
      <c r="J39" s="20">
        <f>'Monthly Financial Plan · Torque'!J35+'Monthly Financial Plan · Torque'!J38</f>
        <v>4237.725309627937</v>
      </c>
      <c r="K39" s="20">
        <f>'Monthly Financial Plan · Torque'!K35+'Monthly Financial Plan · Torque'!K38</f>
        <v>5463.3426171167375</v>
      </c>
      <c r="L39" s="20">
        <f>'Monthly Financial Plan · Torque'!L35+'Monthly Financial Plan · Torque'!L38</f>
        <v>6990.11451793016</v>
      </c>
      <c r="M39" s="20">
        <f>'Monthly Financial Plan · Torque'!M35+'Monthly Financial Plan · Torque'!M38</f>
        <v>8893.57432581397</v>
      </c>
    </row>
    <row r="40">
      <c r="A40" t="inlineStr" s="7">
        <is>
          <t xml:space="preserve">Gross margin after credits</t>
        </is>
      </c>
      <c r="B40" s="21">
        <f>IFERROR('Monthly Financial Plan · Torque'!B39/'Monthly Financial Plan · Torque'!B27,"")</f>
        <v>0.2420380942161176</v>
      </c>
      <c r="C40" s="21">
        <f>IFERROR('Monthly Financial Plan · Torque'!C39/'Monthly Financial Plan · Torque'!C27,"")</f>
        <v>0.3479203139175222</v>
      </c>
      <c r="D40" s="21">
        <f>IFERROR('Monthly Financial Plan · Torque'!D39/'Monthly Financial Plan · Torque'!D27,"")</f>
        <v>0.4255111898447072</v>
      </c>
      <c r="E40" s="21">
        <f>IFERROR('Monthly Financial Plan · Torque'!E39/'Monthly Financial Plan · Torque'!E27,"")</f>
        <v>0.4637688353830366</v>
      </c>
      <c r="F40" s="21">
        <f>IFERROR('Monthly Financial Plan · Torque'!F39/'Monthly Financial Plan · Torque'!F27,"")</f>
        <v>0.4862516990416003</v>
      </c>
      <c r="G40" s="21">
        <f>IFERROR('Monthly Financial Plan · Torque'!G39/'Monthly Financial Plan · Torque'!G27,"")</f>
        <v>0.5008236757063238</v>
      </c>
      <c r="H40" s="21">
        <f>IFERROR('Monthly Financial Plan · Torque'!H39/'Monthly Financial Plan · Torque'!H27,"")</f>
        <v>0.5108642322212893</v>
      </c>
      <c r="I40" s="21">
        <f>IFERROR('Monthly Financial Plan · Torque'!I39/'Monthly Financial Plan · Torque'!I27,"")</f>
        <v>0.5180705770112234</v>
      </c>
      <c r="J40" s="21">
        <f>IFERROR('Monthly Financial Plan · Torque'!J39/'Monthly Financial Plan · Torque'!J27,"")</f>
        <v>0.5233914727959406</v>
      </c>
      <c r="K40" s="21">
        <f>IFERROR('Monthly Financial Plan · Torque'!K39/'Monthly Financial Plan · Torque'!K27,"")</f>
        <v>0.5274006197990768</v>
      </c>
      <c r="L40" s="21">
        <f>IFERROR('Monthly Financial Plan · Torque'!L39/'Monthly Financial Plan · Torque'!L27,"")</f>
        <v>0.5304663151737873</v>
      </c>
      <c r="M40" s="21">
        <f>IFERROR('Monthly Financial Plan · Torque'!M39/'Monthly Financial Plan · Torque'!M27,"")</f>
        <v>0.5328362828619891</v>
      </c>
    </row>
    <row r="41">
      <c r="A41" t="inlineStr" s="7">
        <is>
          <t xml:space="preserve">Team expenses</t>
        </is>
      </c>
      <c r="B41" s="18">
        <f>IF('Torque Assumptions · Growth &amp; o'!B10="","",'Torque Assumptions · Growth &amp; o'!B10)</f>
        <v>0</v>
      </c>
      <c r="C41" s="18">
        <f>IF('Torque Assumptions · Growth &amp; o'!B10="","",'Torque Assumptions · Growth &amp; o'!B10)</f>
        <v>0</v>
      </c>
      <c r="D41" s="18">
        <f>IF('Torque Assumptions · Growth &amp; o'!B10="","",'Torque Assumptions · Growth &amp; o'!B10)</f>
        <v>0</v>
      </c>
      <c r="E41" s="18">
        <f>IF('Torque Assumptions · Growth &amp; o'!B10="","",'Torque Assumptions · Growth &amp; o'!B10)</f>
        <v>0</v>
      </c>
      <c r="F41" s="18">
        <f>IF('Torque Assumptions · Growth &amp; o'!B10="","",'Torque Assumptions · Growth &amp; o'!B10)</f>
        <v>0</v>
      </c>
      <c r="G41" s="18">
        <f>IF('Torque Assumptions · Growth &amp; o'!B10="","",'Torque Assumptions · Growth &amp; o'!B10)</f>
        <v>0</v>
      </c>
      <c r="H41" s="18">
        <f>IF('Torque Assumptions · Growth &amp; o'!B10="","",'Torque Assumptions · Growth &amp; o'!B10)</f>
        <v>0</v>
      </c>
      <c r="I41" s="18">
        <f>IF('Torque Assumptions · Growth &amp; o'!B10="","",'Torque Assumptions · Growth &amp; o'!B10)</f>
        <v>0</v>
      </c>
      <c r="J41" s="18">
        <f>IF('Torque Assumptions · Growth &amp; o'!B10="","",'Torque Assumptions · Growth &amp; o'!B10)</f>
        <v>0</v>
      </c>
      <c r="K41" s="18">
        <f>IF('Torque Assumptions · Growth &amp; o'!B10="","",'Torque Assumptions · Growth &amp; o'!B10)</f>
        <v>0</v>
      </c>
      <c r="L41" s="18">
        <f>IF('Torque Assumptions · Growth &amp; o'!B10="","",'Torque Assumptions · Growth &amp; o'!B10)</f>
        <v>0</v>
      </c>
      <c r="M41" s="18">
        <f>IF('Torque Assumptions · Growth &amp; o'!B10="","",'Torque Assumptions · Growth &amp; o'!B10)</f>
        <v>0</v>
      </c>
    </row>
    <row r="42">
      <c r="A42" t="inlineStr" s="7">
        <is>
          <t xml:space="preserve">Software and tools</t>
        </is>
      </c>
      <c r="B42" s="18">
        <f>IF('Torque Assumptions · Growth &amp; o'!B8="","",'Torque Assumptions · Growth &amp; o'!B8)</f>
        <v>200</v>
      </c>
      <c r="C42" s="18">
        <f>IF('Torque Assumptions · Growth &amp; o'!B8="","",'Torque Assumptions · Growth &amp; o'!B8)</f>
        <v>200</v>
      </c>
      <c r="D42" s="18">
        <f>IF('Torque Assumptions · Growth &amp; o'!B8="","",'Torque Assumptions · Growth &amp; o'!B8)</f>
        <v>200</v>
      </c>
      <c r="E42" s="18">
        <f>IF('Torque Assumptions · Growth &amp; o'!B8="","",'Torque Assumptions · Growth &amp; o'!B8)</f>
        <v>200</v>
      </c>
      <c r="F42" s="18">
        <f>IF('Torque Assumptions · Growth &amp; o'!B8="","",'Torque Assumptions · Growth &amp; o'!B8)</f>
        <v>200</v>
      </c>
      <c r="G42" s="18">
        <f>IF('Torque Assumptions · Growth &amp; o'!B8="","",'Torque Assumptions · Growth &amp; o'!B8)</f>
        <v>200</v>
      </c>
      <c r="H42" s="18">
        <f>IF('Torque Assumptions · Growth &amp; o'!B8="","",'Torque Assumptions · Growth &amp; o'!B8)</f>
        <v>200</v>
      </c>
      <c r="I42" s="18">
        <f>IF('Torque Assumptions · Growth &amp; o'!B8="","",'Torque Assumptions · Growth &amp; o'!B8)</f>
        <v>200</v>
      </c>
      <c r="J42" s="18">
        <f>IF('Torque Assumptions · Growth &amp; o'!B8="","",'Torque Assumptions · Growth &amp; o'!B8)</f>
        <v>200</v>
      </c>
      <c r="K42" s="18">
        <f>IF('Torque Assumptions · Growth &amp; o'!B8="","",'Torque Assumptions · Growth &amp; o'!B8)</f>
        <v>200</v>
      </c>
      <c r="L42" s="18">
        <f>IF('Torque Assumptions · Growth &amp; o'!B8="","",'Torque Assumptions · Growth &amp; o'!B8)</f>
        <v>200</v>
      </c>
      <c r="M42" s="18">
        <f>IF('Torque Assumptions · Growth &amp; o'!B8="","",'Torque Assumptions · Growth &amp; o'!B8)</f>
        <v>200</v>
      </c>
    </row>
    <row r="43">
      <c r="A43" t="inlineStr" s="7">
        <is>
          <t xml:space="preserve">Marketing</t>
        </is>
      </c>
      <c r="B43" s="18">
        <f>IF('Torque Assumptions · Growth &amp; o'!B9="","",'Torque Assumptions · Growth &amp; o'!B9)</f>
        <v>500</v>
      </c>
      <c r="C43" s="18">
        <f>IF('Torque Assumptions · Growth &amp; o'!B9="","",'Torque Assumptions · Growth &amp; o'!B9)</f>
        <v>500</v>
      </c>
      <c r="D43" s="18">
        <f>IF('Torque Assumptions · Growth &amp; o'!B9="","",'Torque Assumptions · Growth &amp; o'!B9)</f>
        <v>500</v>
      </c>
      <c r="E43" s="18">
        <f>IF('Torque Assumptions · Growth &amp; o'!B9="","",'Torque Assumptions · Growth &amp; o'!B9)</f>
        <v>500</v>
      </c>
      <c r="F43" s="18">
        <f>IF('Torque Assumptions · Growth &amp; o'!B9="","",'Torque Assumptions · Growth &amp; o'!B9)</f>
        <v>500</v>
      </c>
      <c r="G43" s="18">
        <f>IF('Torque Assumptions · Growth &amp; o'!B9="","",'Torque Assumptions · Growth &amp; o'!B9)</f>
        <v>500</v>
      </c>
      <c r="H43" s="18">
        <f>IF('Torque Assumptions · Growth &amp; o'!B9="","",'Torque Assumptions · Growth &amp; o'!B9)</f>
        <v>500</v>
      </c>
      <c r="I43" s="18">
        <f>IF('Torque Assumptions · Growth &amp; o'!B9="","",'Torque Assumptions · Growth &amp; o'!B9)</f>
        <v>500</v>
      </c>
      <c r="J43" s="18">
        <f>IF('Torque Assumptions · Growth &amp; o'!B9="","",'Torque Assumptions · Growth &amp; o'!B9)</f>
        <v>500</v>
      </c>
      <c r="K43" s="18">
        <f>IF('Torque Assumptions · Growth &amp; o'!B9="","",'Torque Assumptions · Growth &amp; o'!B9)</f>
        <v>500</v>
      </c>
      <c r="L43" s="18">
        <f>IF('Torque Assumptions · Growth &amp; o'!B9="","",'Torque Assumptions · Growth &amp; o'!B9)</f>
        <v>500</v>
      </c>
      <c r="M43" s="18">
        <f>IF('Torque Assumptions · Growth &amp; o'!B9="","",'Torque Assumptions · Growth &amp; o'!B9)</f>
        <v>500</v>
      </c>
    </row>
    <row r="44">
      <c r="A44" t="inlineStr" s="19">
        <is>
          <t xml:space="preserve">Operating expenses</t>
        </is>
      </c>
      <c r="B44" s="20">
        <f>'Monthly Financial Plan · Torque'!B41+'Monthly Financial Plan · Torque'!B42+'Monthly Financial Plan · Torque'!B43</f>
        <v>700</v>
      </c>
      <c r="C44" s="20">
        <f>'Monthly Financial Plan · Torque'!C41+'Monthly Financial Plan · Torque'!C42+'Monthly Financial Plan · Torque'!C43</f>
        <v>700</v>
      </c>
      <c r="D44" s="20">
        <f>'Monthly Financial Plan · Torque'!D41+'Monthly Financial Plan · Torque'!D42+'Monthly Financial Plan · Torque'!D43</f>
        <v>700</v>
      </c>
      <c r="E44" s="20">
        <f>'Monthly Financial Plan · Torque'!E41+'Monthly Financial Plan · Torque'!E42+'Monthly Financial Plan · Torque'!E43</f>
        <v>700</v>
      </c>
      <c r="F44" s="20">
        <f>'Monthly Financial Plan · Torque'!F41+'Monthly Financial Plan · Torque'!F42+'Monthly Financial Plan · Torque'!F43</f>
        <v>700</v>
      </c>
      <c r="G44" s="20">
        <f>'Monthly Financial Plan · Torque'!G41+'Monthly Financial Plan · Torque'!G42+'Monthly Financial Plan · Torque'!G43</f>
        <v>700</v>
      </c>
      <c r="H44" s="20">
        <f>'Monthly Financial Plan · Torque'!H41+'Monthly Financial Plan · Torque'!H42+'Monthly Financial Plan · Torque'!H43</f>
        <v>700</v>
      </c>
      <c r="I44" s="20">
        <f>'Monthly Financial Plan · Torque'!I41+'Monthly Financial Plan · Torque'!I42+'Monthly Financial Plan · Torque'!I43</f>
        <v>700</v>
      </c>
      <c r="J44" s="20">
        <f>'Monthly Financial Plan · Torque'!J41+'Monthly Financial Plan · Torque'!J42+'Monthly Financial Plan · Torque'!J43</f>
        <v>700</v>
      </c>
      <c r="K44" s="20">
        <f>'Monthly Financial Plan · Torque'!K41+'Monthly Financial Plan · Torque'!K42+'Monthly Financial Plan · Torque'!K43</f>
        <v>700</v>
      </c>
      <c r="L44" s="20">
        <f>'Monthly Financial Plan · Torque'!L41+'Monthly Financial Plan · Torque'!L42+'Monthly Financial Plan · Torque'!L43</f>
        <v>700</v>
      </c>
      <c r="M44" s="20">
        <f>'Monthly Financial Plan · Torque'!M41+'Monthly Financial Plan · Torque'!M42+'Monthly Financial Plan · Torque'!M43</f>
        <v>700</v>
      </c>
    </row>
    <row r="45">
      <c r="A45" t="inlineStr" s="19">
        <is>
          <t xml:space="preserve">Net cash flow before credits</t>
        </is>
      </c>
      <c r="B45" s="20">
        <f>'Monthly Financial Plan · Torque'!B35-'Monthly Financial Plan · Torque'!B44</f>
        <v>-660.4167625</v>
      </c>
      <c r="C45" s="20">
        <f>'Monthly Financial Plan · Torque'!C35-'Monthly Financial Plan · Torque'!C44</f>
        <v>-431.6430602500001</v>
      </c>
      <c r="D45" s="20">
        <f>'Monthly Financial Plan · Torque'!D35-'Monthly Financial Plan · Torque'!D44</f>
        <v>-153.4717039112503</v>
      </c>
      <c r="E45" s="20">
        <f>'Monthly Financial Plan · Torque'!E35-'Monthly Financial Plan · Torque'!E44</f>
        <v>186.83283371952507</v>
      </c>
      <c r="F45" s="20">
        <f>'Monthly Financial Plan · Torque'!F35-'Monthly Financial Plan · Torque'!F44</f>
        <v>605.1680047049426</v>
      </c>
      <c r="G45" s="20">
        <f>'Monthly Financial Plan · Torque'!G35-'Monthly Financial Plan · Torque'!G44</f>
        <v>1121.3850654869302</v>
      </c>
      <c r="H45" s="20">
        <f>'Monthly Financial Plan · Torque'!H35-'Monthly Financial Plan · Torque'!H44</f>
        <v>1760.2788296840608</v>
      </c>
      <c r="I45" s="20">
        <f>'Monthly Financial Plan · Torque'!I35-'Monthly Financial Plan · Torque'!I44</f>
        <v>2552.8247695302384</v>
      </c>
      <c r="J45" s="20">
        <f>'Monthly Financial Plan · Torque'!J35-'Monthly Financial Plan · Torque'!J44</f>
        <v>3537.7253096279373</v>
      </c>
      <c r="K45" s="20">
        <f>'Monthly Financial Plan · Torque'!K35-'Monthly Financial Plan · Torque'!K44</f>
        <v>4763.3426171167375</v>
      </c>
      <c r="L45" s="20">
        <f>'Monthly Financial Plan · Torque'!L35-'Monthly Financial Plan · Torque'!L44</f>
        <v>6290.11451793016</v>
      </c>
      <c r="M45" s="20">
        <f>'Monthly Financial Plan · Torque'!M35-'Monthly Financial Plan · Torque'!M44</f>
        <v>8193.57432581397</v>
      </c>
    </row>
    <row r="46">
      <c r="A46" t="inlineStr" s="19">
        <is>
          <t xml:space="preserve">Net cash flow after credits</t>
        </is>
      </c>
      <c r="B46" s="20">
        <f>'Monthly Financial Plan · Torque'!B39-'Monthly Financial Plan · Torque'!B44</f>
        <v>-615.4167625</v>
      </c>
      <c r="C46" s="20">
        <f>'Monthly Financial Plan · Torque'!C39-'Monthly Financial Plan · Torque'!C44</f>
        <v>-431.6430602500001</v>
      </c>
      <c r="D46" s="20">
        <f>'Monthly Financial Plan · Torque'!D39-'Monthly Financial Plan · Torque'!D44</f>
        <v>-153.4717039112503</v>
      </c>
      <c r="E46" s="20">
        <f>'Monthly Financial Plan · Torque'!E39-'Monthly Financial Plan · Torque'!E44</f>
        <v>186.83283371952507</v>
      </c>
      <c r="F46" s="20">
        <f>'Monthly Financial Plan · Torque'!F39-'Monthly Financial Plan · Torque'!F44</f>
        <v>605.1680047049426</v>
      </c>
      <c r="G46" s="20">
        <f>'Monthly Financial Plan · Torque'!G39-'Monthly Financial Plan · Torque'!G44</f>
        <v>1121.3850654869302</v>
      </c>
      <c r="H46" s="20">
        <f>'Monthly Financial Plan · Torque'!H39-'Monthly Financial Plan · Torque'!H44</f>
        <v>1760.2788296840608</v>
      </c>
      <c r="I46" s="20">
        <f>'Monthly Financial Plan · Torque'!I39-'Monthly Financial Plan · Torque'!I44</f>
        <v>2552.8247695302384</v>
      </c>
      <c r="J46" s="20">
        <f>'Monthly Financial Plan · Torque'!J39-'Monthly Financial Plan · Torque'!J44</f>
        <v>3537.7253096279373</v>
      </c>
      <c r="K46" s="20">
        <f>'Monthly Financial Plan · Torque'!K39-'Monthly Financial Plan · Torque'!K44</f>
        <v>4763.3426171167375</v>
      </c>
      <c r="L46" s="20">
        <f>'Monthly Financial Plan · Torque'!L39-'Monthly Financial Plan · Torque'!L44</f>
        <v>6290.11451793016</v>
      </c>
      <c r="M46" s="20">
        <f>'Monthly Financial Plan · Torque'!M39-'Monthly Financial Plan · Torque'!M44</f>
        <v>8193.57432581397</v>
      </c>
    </row>
    <row r="47">
      <c r="A47" t="inlineStr" s="7">
        <is>
          <t xml:space="preserve">Cash balance before credits</t>
        </is>
      </c>
      <c r="B47" s="18">
        <f>'Model inputs'!D12+'Monthly Financial Plan · Torque'!B45</f>
        <v>-660.4167625</v>
      </c>
      <c r="C47" s="18">
        <f>'Monthly Financial Plan · Torque'!B47+'Monthly Financial Plan · Torque'!C45</f>
        <v>-1092.05982275</v>
      </c>
      <c r="D47" s="18">
        <f>'Monthly Financial Plan · Torque'!C47+'Monthly Financial Plan · Torque'!D45</f>
        <v>-1245.5315266612502</v>
      </c>
      <c r="E47" s="18">
        <f>'Monthly Financial Plan · Torque'!D47+'Monthly Financial Plan · Torque'!E45</f>
        <v>-1058.698692941725</v>
      </c>
      <c r="F47" s="18">
        <f>'Monthly Financial Plan · Torque'!E47+'Monthly Financial Plan · Torque'!F45</f>
        <v>-453.53068823678245</v>
      </c>
      <c r="G47" s="18">
        <f>'Monthly Financial Plan · Torque'!F47+'Monthly Financial Plan · Torque'!G45</f>
        <v>667.8543772501478</v>
      </c>
      <c r="H47" s="18">
        <f>'Monthly Financial Plan · Torque'!G47+'Monthly Financial Plan · Torque'!H45</f>
        <v>2428.133206934209</v>
      </c>
      <c r="I47" s="18">
        <f>'Monthly Financial Plan · Torque'!H47+'Monthly Financial Plan · Torque'!I45</f>
        <v>4980.957976464448</v>
      </c>
      <c r="J47" s="18">
        <f>'Monthly Financial Plan · Torque'!I47+'Monthly Financial Plan · Torque'!J45</f>
        <v>8518.683286092386</v>
      </c>
      <c r="K47" s="18">
        <f>'Monthly Financial Plan · Torque'!J47+'Monthly Financial Plan · Torque'!K45</f>
        <v>13282.025903209123</v>
      </c>
      <c r="L47" s="18">
        <f>'Monthly Financial Plan · Torque'!K47+'Monthly Financial Plan · Torque'!L45</f>
        <v>19572.140421139284</v>
      </c>
      <c r="M47" s="18">
        <f>'Monthly Financial Plan · Torque'!L47+'Monthly Financial Plan · Torque'!M45</f>
        <v>27765.714746953254</v>
      </c>
    </row>
    <row r="48">
      <c r="A48" t="inlineStr" s="7">
        <is>
          <t xml:space="preserve">Cash balance after credits</t>
        </is>
      </c>
      <c r="B48" s="18">
        <f>'Model inputs'!D11+'Monthly Financial Plan · Torque'!B46</f>
        <v>-615.4167625</v>
      </c>
      <c r="C48" s="18">
        <f>'Monthly Financial Plan · Torque'!B48+'Monthly Financial Plan · Torque'!C46</f>
        <v>-1047.05982275</v>
      </c>
      <c r="D48" s="18">
        <f>'Monthly Financial Plan · Torque'!C48+'Monthly Financial Plan · Torque'!D46</f>
        <v>-1200.5315266612502</v>
      </c>
      <c r="E48" s="18">
        <f>'Monthly Financial Plan · Torque'!D48+'Monthly Financial Plan · Torque'!E46</f>
        <v>-1013.6986929417251</v>
      </c>
      <c r="F48" s="18">
        <f>'Monthly Financial Plan · Torque'!E48+'Monthly Financial Plan · Torque'!F46</f>
        <v>-408.53068823678245</v>
      </c>
      <c r="G48" s="18">
        <f>'Monthly Financial Plan · Torque'!F48+'Monthly Financial Plan · Torque'!G46</f>
        <v>712.8543772501478</v>
      </c>
      <c r="H48" s="18">
        <f>'Monthly Financial Plan · Torque'!G48+'Monthly Financial Plan · Torque'!H46</f>
        <v>2473.133206934209</v>
      </c>
      <c r="I48" s="18">
        <f>'Monthly Financial Plan · Torque'!H48+'Monthly Financial Plan · Torque'!I46</f>
        <v>5025.957976464448</v>
      </c>
      <c r="J48" s="18">
        <f>'Monthly Financial Plan · Torque'!I48+'Monthly Financial Plan · Torque'!J46</f>
        <v>8563.683286092386</v>
      </c>
      <c r="K48" s="18">
        <f>'Monthly Financial Plan · Torque'!J48+'Monthly Financial Plan · Torque'!K46</f>
        <v>13327.025903209123</v>
      </c>
      <c r="L48" s="18">
        <f>'Monthly Financial Plan · Torque'!K48+'Monthly Financial Plan · Torque'!L46</f>
        <v>19617.140421139284</v>
      </c>
      <c r="M48" s="18">
        <f>'Monthly Financial Plan · Torque'!L48+'Monthly Financial Plan · Torque'!M46</f>
        <v>27810.714746953254</v>
      </c>
    </row>
    <row r="49">
      <c r="A49" t="inlineStr" s="7">
        <is>
          <t xml:space="preserve">Runway months before credits</t>
        </is>
      </c>
      <c r="B49" s="14">
        <f>IF(IF(IF(ISERROR('Monthly Financial Plan · Torque'!B45&gt;=0),'Monthly Financial Plan · Torque'!B45&gt;=0,IF('Monthly Financial Plan · Torque'!B45="","",'Monthly Financial Plan · Torque'!B45&gt;=0))="",FALSE,IF(ISERROR('Monthly Financial Plan · Torque'!B45&gt;=0),'Monthly Financial Plan · Torque'!B45&gt;=0,IF('Monthly Financial Plan · Torque'!B45="","",'Monthly Financial Plan · Torque'!B45&gt;=0))),"",IF(IF(IF(ISERROR('Monthly Financial Plan · Torque'!B47&lt;=0),'Monthly Financial Plan · Torque'!B47&lt;=0,IF('Monthly Financial Plan · Torque'!B47="","",'Monthly Financial Plan · Torque'!B47&lt;=0))="",FALSE,IF(ISERROR('Monthly Financial Plan · Torque'!B47&lt;=0),'Monthly Financial Plan · Torque'!B47&lt;=0,IF('Monthly Financial Plan · Torque'!B47="","",'Monthly Financial Plan · Torque'!B47&lt;=0))),0,'Monthly Financial Plan · Torque'!B47/(0-'Monthly Financial Plan · Torque'!B45)))</f>
        <v>0</v>
      </c>
      <c r="C49" s="14">
        <f>IF(IF(IF(ISERROR('Monthly Financial Plan · Torque'!C45&gt;=0),'Monthly Financial Plan · Torque'!C45&gt;=0,IF('Monthly Financial Plan · Torque'!C45="","",'Monthly Financial Plan · Torque'!C45&gt;=0))="",FALSE,IF(ISERROR('Monthly Financial Plan · Torque'!C45&gt;=0),'Monthly Financial Plan · Torque'!C45&gt;=0,IF('Monthly Financial Plan · Torque'!C45="","",'Monthly Financial Plan · Torque'!C45&gt;=0))),"",IF(IF(IF(ISERROR('Monthly Financial Plan · Torque'!C47&lt;=0),'Monthly Financial Plan · Torque'!C47&lt;=0,IF('Monthly Financial Plan · Torque'!C47="","",'Monthly Financial Plan · Torque'!C47&lt;=0))="",FALSE,IF(ISERROR('Monthly Financial Plan · Torque'!C47&lt;=0),'Monthly Financial Plan · Torque'!C47&lt;=0,IF('Monthly Financial Plan · Torque'!C47="","",'Monthly Financial Plan · Torque'!C47&lt;=0))),0,'Monthly Financial Plan · Torque'!C47/(0-'Monthly Financial Plan · Torque'!C45)))</f>
        <v>0</v>
      </c>
      <c r="D49" s="14">
        <f>IF(IF(IF(ISERROR('Monthly Financial Plan · Torque'!D45&gt;=0),'Monthly Financial Plan · Torque'!D45&gt;=0,IF('Monthly Financial Plan · Torque'!D45="","",'Monthly Financial Plan · Torque'!D45&gt;=0))="",FALSE,IF(ISERROR('Monthly Financial Plan · Torque'!D45&gt;=0),'Monthly Financial Plan · Torque'!D45&gt;=0,IF('Monthly Financial Plan · Torque'!D45="","",'Monthly Financial Plan · Torque'!D45&gt;=0))),"",IF(IF(IF(ISERROR('Monthly Financial Plan · Torque'!D47&lt;=0),'Monthly Financial Plan · Torque'!D47&lt;=0,IF('Monthly Financial Plan · Torque'!D47="","",'Monthly Financial Plan · Torque'!D47&lt;=0))="",FALSE,IF(ISERROR('Monthly Financial Plan · Torque'!D47&lt;=0),'Monthly Financial Plan · Torque'!D47&lt;=0,IF('Monthly Financial Plan · Torque'!D47="","",'Monthly Financial Plan · Torque'!D47&lt;=0))),0,'Monthly Financial Plan · Torque'!D47/(0-'Monthly Financial Plan · Torque'!D45)))</f>
        <v>0</v>
      </c>
      <c r="E49" t="str" s="14">
        <f>IF(IF(IF(ISERROR('Monthly Financial Plan · Torque'!E45&gt;=0),'Monthly Financial Plan · Torque'!E45&gt;=0,IF('Monthly Financial Plan · Torque'!E45="","",'Monthly Financial Plan · Torque'!E45&gt;=0))="",FALSE,IF(ISERROR('Monthly Financial Plan · Torque'!E45&gt;=0),'Monthly Financial Plan · Torque'!E45&gt;=0,IF('Monthly Financial Plan · Torque'!E45="","",'Monthly Financial Plan · Torque'!E45&gt;=0))),"",IF(IF(IF(ISERROR('Monthly Financial Plan · Torque'!E47&lt;=0),'Monthly Financial Plan · Torque'!E47&lt;=0,IF('Monthly Financial Plan · Torque'!E47="","",'Monthly Financial Plan · Torque'!E47&lt;=0))="",FALSE,IF(ISERROR('Monthly Financial Plan · Torque'!E47&lt;=0),'Monthly Financial Plan · Torque'!E47&lt;=0,IF('Monthly Financial Plan · Torque'!E47="","",'Monthly Financial Plan · Torque'!E47&lt;=0))),0,'Monthly Financial Plan · Torque'!E47/(0-'Monthly Financial Plan · Torque'!E45)))</f>
        <v/>
      </c>
      <c r="F49" t="str" s="14">
        <f>IF(IF(IF(ISERROR('Monthly Financial Plan · Torque'!F45&gt;=0),'Monthly Financial Plan · Torque'!F45&gt;=0,IF('Monthly Financial Plan · Torque'!F45="","",'Monthly Financial Plan · Torque'!F45&gt;=0))="",FALSE,IF(ISERROR('Monthly Financial Plan · Torque'!F45&gt;=0),'Monthly Financial Plan · Torque'!F45&gt;=0,IF('Monthly Financial Plan · Torque'!F45="","",'Monthly Financial Plan · Torque'!F45&gt;=0))),"",IF(IF(IF(ISERROR('Monthly Financial Plan · Torque'!F47&lt;=0),'Monthly Financial Plan · Torque'!F47&lt;=0,IF('Monthly Financial Plan · Torque'!F47="","",'Monthly Financial Plan · Torque'!F47&lt;=0))="",FALSE,IF(ISERROR('Monthly Financial Plan · Torque'!F47&lt;=0),'Monthly Financial Plan · Torque'!F47&lt;=0,IF('Monthly Financial Plan · Torque'!F47="","",'Monthly Financial Plan · Torque'!F47&lt;=0))),0,'Monthly Financial Plan · Torque'!F47/(0-'Monthly Financial Plan · Torque'!F45)))</f>
        <v/>
      </c>
      <c r="G49" t="str" s="14">
        <f>IF(IF(IF(ISERROR('Monthly Financial Plan · Torque'!G45&gt;=0),'Monthly Financial Plan · Torque'!G45&gt;=0,IF('Monthly Financial Plan · Torque'!G45="","",'Monthly Financial Plan · Torque'!G45&gt;=0))="",FALSE,IF(ISERROR('Monthly Financial Plan · Torque'!G45&gt;=0),'Monthly Financial Plan · Torque'!G45&gt;=0,IF('Monthly Financial Plan · Torque'!G45="","",'Monthly Financial Plan · Torque'!G45&gt;=0))),"",IF(IF(IF(ISERROR('Monthly Financial Plan · Torque'!G47&lt;=0),'Monthly Financial Plan · Torque'!G47&lt;=0,IF('Monthly Financial Plan · Torque'!G47="","",'Monthly Financial Plan · Torque'!G47&lt;=0))="",FALSE,IF(ISERROR('Monthly Financial Plan · Torque'!G47&lt;=0),'Monthly Financial Plan · Torque'!G47&lt;=0,IF('Monthly Financial Plan · Torque'!G47="","",'Monthly Financial Plan · Torque'!G47&lt;=0))),0,'Monthly Financial Plan · Torque'!G47/(0-'Monthly Financial Plan · Torque'!G45)))</f>
        <v/>
      </c>
      <c r="H49" t="str" s="14">
        <f>IF(IF(IF(ISERROR('Monthly Financial Plan · Torque'!H45&gt;=0),'Monthly Financial Plan · Torque'!H45&gt;=0,IF('Monthly Financial Plan · Torque'!H45="","",'Monthly Financial Plan · Torque'!H45&gt;=0))="",FALSE,IF(ISERROR('Monthly Financial Plan · Torque'!H45&gt;=0),'Monthly Financial Plan · Torque'!H45&gt;=0,IF('Monthly Financial Plan · Torque'!H45="","",'Monthly Financial Plan · Torque'!H45&gt;=0))),"",IF(IF(IF(ISERROR('Monthly Financial Plan · Torque'!H47&lt;=0),'Monthly Financial Plan · Torque'!H47&lt;=0,IF('Monthly Financial Plan · Torque'!H47="","",'Monthly Financial Plan · Torque'!H47&lt;=0))="",FALSE,IF(ISERROR('Monthly Financial Plan · Torque'!H47&lt;=0),'Monthly Financial Plan · Torque'!H47&lt;=0,IF('Monthly Financial Plan · Torque'!H47="","",'Monthly Financial Plan · Torque'!H47&lt;=0))),0,'Monthly Financial Plan · Torque'!H47/(0-'Monthly Financial Plan · Torque'!H45)))</f>
        <v/>
      </c>
      <c r="I49" t="str" s="14">
        <f>IF(IF(IF(ISERROR('Monthly Financial Plan · Torque'!I45&gt;=0),'Monthly Financial Plan · Torque'!I45&gt;=0,IF('Monthly Financial Plan · Torque'!I45="","",'Monthly Financial Plan · Torque'!I45&gt;=0))="",FALSE,IF(ISERROR('Monthly Financial Plan · Torque'!I45&gt;=0),'Monthly Financial Plan · Torque'!I45&gt;=0,IF('Monthly Financial Plan · Torque'!I45="","",'Monthly Financial Plan · Torque'!I45&gt;=0))),"",IF(IF(IF(ISERROR('Monthly Financial Plan · Torque'!I47&lt;=0),'Monthly Financial Plan · Torque'!I47&lt;=0,IF('Monthly Financial Plan · Torque'!I47="","",'Monthly Financial Plan · Torque'!I47&lt;=0))="",FALSE,IF(ISERROR('Monthly Financial Plan · Torque'!I47&lt;=0),'Monthly Financial Plan · Torque'!I47&lt;=0,IF('Monthly Financial Plan · Torque'!I47="","",'Monthly Financial Plan · Torque'!I47&lt;=0))),0,'Monthly Financial Plan · Torque'!I47/(0-'Monthly Financial Plan · Torque'!I45)))</f>
        <v/>
      </c>
      <c r="J49" t="str" s="14">
        <f>IF(IF(IF(ISERROR('Monthly Financial Plan · Torque'!J45&gt;=0),'Monthly Financial Plan · Torque'!J45&gt;=0,IF('Monthly Financial Plan · Torque'!J45="","",'Monthly Financial Plan · Torque'!J45&gt;=0))="",FALSE,IF(ISERROR('Monthly Financial Plan · Torque'!J45&gt;=0),'Monthly Financial Plan · Torque'!J45&gt;=0,IF('Monthly Financial Plan · Torque'!J45="","",'Monthly Financial Plan · Torque'!J45&gt;=0))),"",IF(IF(IF(ISERROR('Monthly Financial Plan · Torque'!J47&lt;=0),'Monthly Financial Plan · Torque'!J47&lt;=0,IF('Monthly Financial Plan · Torque'!J47="","",'Monthly Financial Plan · Torque'!J47&lt;=0))="",FALSE,IF(ISERROR('Monthly Financial Plan · Torque'!J47&lt;=0),'Monthly Financial Plan · Torque'!J47&lt;=0,IF('Monthly Financial Plan · Torque'!J47="","",'Monthly Financial Plan · Torque'!J47&lt;=0))),0,'Monthly Financial Plan · Torque'!J47/(0-'Monthly Financial Plan · Torque'!J45)))</f>
        <v/>
      </c>
      <c r="K49" t="str" s="14">
        <f>IF(IF(IF(ISERROR('Monthly Financial Plan · Torque'!K45&gt;=0),'Monthly Financial Plan · Torque'!K45&gt;=0,IF('Monthly Financial Plan · Torque'!K45="","",'Monthly Financial Plan · Torque'!K45&gt;=0))="",FALSE,IF(ISERROR('Monthly Financial Plan · Torque'!K45&gt;=0),'Monthly Financial Plan · Torque'!K45&gt;=0,IF('Monthly Financial Plan · Torque'!K45="","",'Monthly Financial Plan · Torque'!K45&gt;=0))),"",IF(IF(IF(ISERROR('Monthly Financial Plan · Torque'!K47&lt;=0),'Monthly Financial Plan · Torque'!K47&lt;=0,IF('Monthly Financial Plan · Torque'!K47="","",'Monthly Financial Plan · Torque'!K47&lt;=0))="",FALSE,IF(ISERROR('Monthly Financial Plan · Torque'!K47&lt;=0),'Monthly Financial Plan · Torque'!K47&lt;=0,IF('Monthly Financial Plan · Torque'!K47="","",'Monthly Financial Plan · Torque'!K47&lt;=0))),0,'Monthly Financial Plan · Torque'!K47/(0-'Monthly Financial Plan · Torque'!K45)))</f>
        <v/>
      </c>
      <c r="L49" t="str" s="14">
        <f>IF(IF(IF(ISERROR('Monthly Financial Plan · Torque'!L45&gt;=0),'Monthly Financial Plan · Torque'!L45&gt;=0,IF('Monthly Financial Plan · Torque'!L45="","",'Monthly Financial Plan · Torque'!L45&gt;=0))="",FALSE,IF(ISERROR('Monthly Financial Plan · Torque'!L45&gt;=0),'Monthly Financial Plan · Torque'!L45&gt;=0,IF('Monthly Financial Plan · Torque'!L45="","",'Monthly Financial Plan · Torque'!L45&gt;=0))),"",IF(IF(IF(ISERROR('Monthly Financial Plan · Torque'!L47&lt;=0),'Monthly Financial Plan · Torque'!L47&lt;=0,IF('Monthly Financial Plan · Torque'!L47="","",'Monthly Financial Plan · Torque'!L47&lt;=0))="",FALSE,IF(ISERROR('Monthly Financial Plan · Torque'!L47&lt;=0),'Monthly Financial Plan · Torque'!L47&lt;=0,IF('Monthly Financial Plan · Torque'!L47="","",'Monthly Financial Plan · Torque'!L47&lt;=0))),0,'Monthly Financial Plan · Torque'!L47/(0-'Monthly Financial Plan · Torque'!L45)))</f>
        <v/>
      </c>
      <c r="M49" t="str" s="14">
        <f>IF(IF(IF(ISERROR('Monthly Financial Plan · Torque'!M45&gt;=0),'Monthly Financial Plan · Torque'!M45&gt;=0,IF('Monthly Financial Plan · Torque'!M45="","",'Monthly Financial Plan · Torque'!M45&gt;=0))="",FALSE,IF(ISERROR('Monthly Financial Plan · Torque'!M45&gt;=0),'Monthly Financial Plan · Torque'!M45&gt;=0,IF('Monthly Financial Plan · Torque'!M45="","",'Monthly Financial Plan · Torque'!M45&gt;=0))),"",IF(IF(IF(ISERROR('Monthly Financial Plan · Torque'!M47&lt;=0),'Monthly Financial Plan · Torque'!M47&lt;=0,IF('Monthly Financial Plan · Torque'!M47="","",'Monthly Financial Plan · Torque'!M47&lt;=0))="",FALSE,IF(ISERROR('Monthly Financial Plan · Torque'!M47&lt;=0),'Monthly Financial Plan · Torque'!M47&lt;=0,IF('Monthly Financial Plan · Torque'!M47="","",'Monthly Financial Plan · Torque'!M47&lt;=0))),0,'Monthly Financial Plan · Torque'!M47/(0-'Monthly Financial Plan · Torque'!M45)))</f>
        <v/>
      </c>
    </row>
    <row r="50">
      <c r="A50" t="inlineStr" s="7">
        <is>
          <t xml:space="preserve">Runway months after credits</t>
        </is>
      </c>
      <c r="B50" s="14">
        <f>IF(IF(IF(ISERROR('Monthly Financial Plan · Torque'!B46&gt;=0),'Monthly Financial Plan · Torque'!B46&gt;=0,IF('Monthly Financial Plan · Torque'!B46="","",'Monthly Financial Plan · Torque'!B46&gt;=0))="",FALSE,IF(ISERROR('Monthly Financial Plan · Torque'!B46&gt;=0),'Monthly Financial Plan · Torque'!B46&gt;=0,IF('Monthly Financial Plan · Torque'!B46="","",'Monthly Financial Plan · Torque'!B46&gt;=0))),"",IF(IF(IF(ISERROR('Monthly Financial Plan · Torque'!B48&lt;=0),'Monthly Financial Plan · Torque'!B48&lt;=0,IF('Monthly Financial Plan · Torque'!B48="","",'Monthly Financial Plan · Torque'!B48&lt;=0))="",FALSE,IF(ISERROR('Monthly Financial Plan · Torque'!B48&lt;=0),'Monthly Financial Plan · Torque'!B48&lt;=0,IF('Monthly Financial Plan · Torque'!B48="","",'Monthly Financial Plan · Torque'!B48&lt;=0))),0,'Monthly Financial Plan · Torque'!B48/(0-'Monthly Financial Plan · Torque'!B46)))</f>
        <v>0</v>
      </c>
      <c r="C50" s="14">
        <f>IF(IF(IF(ISERROR('Monthly Financial Plan · Torque'!C46&gt;=0),'Monthly Financial Plan · Torque'!C46&gt;=0,IF('Monthly Financial Plan · Torque'!C46="","",'Monthly Financial Plan · Torque'!C46&gt;=0))="",FALSE,IF(ISERROR('Monthly Financial Plan · Torque'!C46&gt;=0),'Monthly Financial Plan · Torque'!C46&gt;=0,IF('Monthly Financial Plan · Torque'!C46="","",'Monthly Financial Plan · Torque'!C46&gt;=0))),"",IF(IF(IF(ISERROR('Monthly Financial Plan · Torque'!C48&lt;=0),'Monthly Financial Plan · Torque'!C48&lt;=0,IF('Monthly Financial Plan · Torque'!C48="","",'Monthly Financial Plan · Torque'!C48&lt;=0))="",FALSE,IF(ISERROR('Monthly Financial Plan · Torque'!C48&lt;=0),'Monthly Financial Plan · Torque'!C48&lt;=0,IF('Monthly Financial Plan · Torque'!C48="","",'Monthly Financial Plan · Torque'!C48&lt;=0))),0,'Monthly Financial Plan · Torque'!C48/(0-'Monthly Financial Plan · Torque'!C46)))</f>
        <v>0</v>
      </c>
      <c r="D50" s="14">
        <f>IF(IF(IF(ISERROR('Monthly Financial Plan · Torque'!D46&gt;=0),'Monthly Financial Plan · Torque'!D46&gt;=0,IF('Monthly Financial Plan · Torque'!D46="","",'Monthly Financial Plan · Torque'!D46&gt;=0))="",FALSE,IF(ISERROR('Monthly Financial Plan · Torque'!D46&gt;=0),'Monthly Financial Plan · Torque'!D46&gt;=0,IF('Monthly Financial Plan · Torque'!D46="","",'Monthly Financial Plan · Torque'!D46&gt;=0))),"",IF(IF(IF(ISERROR('Monthly Financial Plan · Torque'!D48&lt;=0),'Monthly Financial Plan · Torque'!D48&lt;=0,IF('Monthly Financial Plan · Torque'!D48="","",'Monthly Financial Plan · Torque'!D48&lt;=0))="",FALSE,IF(ISERROR('Monthly Financial Plan · Torque'!D48&lt;=0),'Monthly Financial Plan · Torque'!D48&lt;=0,IF('Monthly Financial Plan · Torque'!D48="","",'Monthly Financial Plan · Torque'!D48&lt;=0))),0,'Monthly Financial Plan · Torque'!D48/(0-'Monthly Financial Plan · Torque'!D46)))</f>
        <v>0</v>
      </c>
      <c r="E50" t="str" s="14">
        <f>IF(IF(IF(ISERROR('Monthly Financial Plan · Torque'!E46&gt;=0),'Monthly Financial Plan · Torque'!E46&gt;=0,IF('Monthly Financial Plan · Torque'!E46="","",'Monthly Financial Plan · Torque'!E46&gt;=0))="",FALSE,IF(ISERROR('Monthly Financial Plan · Torque'!E46&gt;=0),'Monthly Financial Plan · Torque'!E46&gt;=0,IF('Monthly Financial Plan · Torque'!E46="","",'Monthly Financial Plan · Torque'!E46&gt;=0))),"",IF(IF(IF(ISERROR('Monthly Financial Plan · Torque'!E48&lt;=0),'Monthly Financial Plan · Torque'!E48&lt;=0,IF('Monthly Financial Plan · Torque'!E48="","",'Monthly Financial Plan · Torque'!E48&lt;=0))="",FALSE,IF(ISERROR('Monthly Financial Plan · Torque'!E48&lt;=0),'Monthly Financial Plan · Torque'!E48&lt;=0,IF('Monthly Financial Plan · Torque'!E48="","",'Monthly Financial Plan · Torque'!E48&lt;=0))),0,'Monthly Financial Plan · Torque'!E48/(0-'Monthly Financial Plan · Torque'!E46)))</f>
        <v/>
      </c>
      <c r="F50" t="str" s="14">
        <f>IF(IF(IF(ISERROR('Monthly Financial Plan · Torque'!F46&gt;=0),'Monthly Financial Plan · Torque'!F46&gt;=0,IF('Monthly Financial Plan · Torque'!F46="","",'Monthly Financial Plan · Torque'!F46&gt;=0))="",FALSE,IF(ISERROR('Monthly Financial Plan · Torque'!F46&gt;=0),'Monthly Financial Plan · Torque'!F46&gt;=0,IF('Monthly Financial Plan · Torque'!F46="","",'Monthly Financial Plan · Torque'!F46&gt;=0))),"",IF(IF(IF(ISERROR('Monthly Financial Plan · Torque'!F48&lt;=0),'Monthly Financial Plan · Torque'!F48&lt;=0,IF('Monthly Financial Plan · Torque'!F48="","",'Monthly Financial Plan · Torque'!F48&lt;=0))="",FALSE,IF(ISERROR('Monthly Financial Plan · Torque'!F48&lt;=0),'Monthly Financial Plan · Torque'!F48&lt;=0,IF('Monthly Financial Plan · Torque'!F48="","",'Monthly Financial Plan · Torque'!F48&lt;=0))),0,'Monthly Financial Plan · Torque'!F48/(0-'Monthly Financial Plan · Torque'!F46)))</f>
        <v/>
      </c>
      <c r="G50" t="str" s="14">
        <f>IF(IF(IF(ISERROR('Monthly Financial Plan · Torque'!G46&gt;=0),'Monthly Financial Plan · Torque'!G46&gt;=0,IF('Monthly Financial Plan · Torque'!G46="","",'Monthly Financial Plan · Torque'!G46&gt;=0))="",FALSE,IF(ISERROR('Monthly Financial Plan · Torque'!G46&gt;=0),'Monthly Financial Plan · Torque'!G46&gt;=0,IF('Monthly Financial Plan · Torque'!G46="","",'Monthly Financial Plan · Torque'!G46&gt;=0))),"",IF(IF(IF(ISERROR('Monthly Financial Plan · Torque'!G48&lt;=0),'Monthly Financial Plan · Torque'!G48&lt;=0,IF('Monthly Financial Plan · Torque'!G48="","",'Monthly Financial Plan · Torque'!G48&lt;=0))="",FALSE,IF(ISERROR('Monthly Financial Plan · Torque'!G48&lt;=0),'Monthly Financial Plan · Torque'!G48&lt;=0,IF('Monthly Financial Plan · Torque'!G48="","",'Monthly Financial Plan · Torque'!G48&lt;=0))),0,'Monthly Financial Plan · Torque'!G48/(0-'Monthly Financial Plan · Torque'!G46)))</f>
        <v/>
      </c>
      <c r="H50" t="str" s="14">
        <f>IF(IF(IF(ISERROR('Monthly Financial Plan · Torque'!H46&gt;=0),'Monthly Financial Plan · Torque'!H46&gt;=0,IF('Monthly Financial Plan · Torque'!H46="","",'Monthly Financial Plan · Torque'!H46&gt;=0))="",FALSE,IF(ISERROR('Monthly Financial Plan · Torque'!H46&gt;=0),'Monthly Financial Plan · Torque'!H46&gt;=0,IF('Monthly Financial Plan · Torque'!H46="","",'Monthly Financial Plan · Torque'!H46&gt;=0))),"",IF(IF(IF(ISERROR('Monthly Financial Plan · Torque'!H48&lt;=0),'Monthly Financial Plan · Torque'!H48&lt;=0,IF('Monthly Financial Plan · Torque'!H48="","",'Monthly Financial Plan · Torque'!H48&lt;=0))="",FALSE,IF(ISERROR('Monthly Financial Plan · Torque'!H48&lt;=0),'Monthly Financial Plan · Torque'!H48&lt;=0,IF('Monthly Financial Plan · Torque'!H48="","",'Monthly Financial Plan · Torque'!H48&lt;=0))),0,'Monthly Financial Plan · Torque'!H48/(0-'Monthly Financial Plan · Torque'!H46)))</f>
        <v/>
      </c>
      <c r="I50" t="str" s="14">
        <f>IF(IF(IF(ISERROR('Monthly Financial Plan · Torque'!I46&gt;=0),'Monthly Financial Plan · Torque'!I46&gt;=0,IF('Monthly Financial Plan · Torque'!I46="","",'Monthly Financial Plan · Torque'!I46&gt;=0))="",FALSE,IF(ISERROR('Monthly Financial Plan · Torque'!I46&gt;=0),'Monthly Financial Plan · Torque'!I46&gt;=0,IF('Monthly Financial Plan · Torque'!I46="","",'Monthly Financial Plan · Torque'!I46&gt;=0))),"",IF(IF(IF(ISERROR('Monthly Financial Plan · Torque'!I48&lt;=0),'Monthly Financial Plan · Torque'!I48&lt;=0,IF('Monthly Financial Plan · Torque'!I48="","",'Monthly Financial Plan · Torque'!I48&lt;=0))="",FALSE,IF(ISERROR('Monthly Financial Plan · Torque'!I48&lt;=0),'Monthly Financial Plan · Torque'!I48&lt;=0,IF('Monthly Financial Plan · Torque'!I48="","",'Monthly Financial Plan · Torque'!I48&lt;=0))),0,'Monthly Financial Plan · Torque'!I48/(0-'Monthly Financial Plan · Torque'!I46)))</f>
        <v/>
      </c>
      <c r="J50" t="str" s="14">
        <f>IF(IF(IF(ISERROR('Monthly Financial Plan · Torque'!J46&gt;=0),'Monthly Financial Plan · Torque'!J46&gt;=0,IF('Monthly Financial Plan · Torque'!J46="","",'Monthly Financial Plan · Torque'!J46&gt;=0))="",FALSE,IF(ISERROR('Monthly Financial Plan · Torque'!J46&gt;=0),'Monthly Financial Plan · Torque'!J46&gt;=0,IF('Monthly Financial Plan · Torque'!J46="","",'Monthly Financial Plan · Torque'!J46&gt;=0))),"",IF(IF(IF(ISERROR('Monthly Financial Plan · Torque'!J48&lt;=0),'Monthly Financial Plan · Torque'!J48&lt;=0,IF('Monthly Financial Plan · Torque'!J48="","",'Monthly Financial Plan · Torque'!J48&lt;=0))="",FALSE,IF(ISERROR('Monthly Financial Plan · Torque'!J48&lt;=0),'Monthly Financial Plan · Torque'!J48&lt;=0,IF('Monthly Financial Plan · Torque'!J48="","",'Monthly Financial Plan · Torque'!J48&lt;=0))),0,'Monthly Financial Plan · Torque'!J48/(0-'Monthly Financial Plan · Torque'!J46)))</f>
        <v/>
      </c>
      <c r="K50" t="str" s="14">
        <f>IF(IF(IF(ISERROR('Monthly Financial Plan · Torque'!K46&gt;=0),'Monthly Financial Plan · Torque'!K46&gt;=0,IF('Monthly Financial Plan · Torque'!K46="","",'Monthly Financial Plan · Torque'!K46&gt;=0))="",FALSE,IF(ISERROR('Monthly Financial Plan · Torque'!K46&gt;=0),'Monthly Financial Plan · Torque'!K46&gt;=0,IF('Monthly Financial Plan · Torque'!K46="","",'Monthly Financial Plan · Torque'!K46&gt;=0))),"",IF(IF(IF(ISERROR('Monthly Financial Plan · Torque'!K48&lt;=0),'Monthly Financial Plan · Torque'!K48&lt;=0,IF('Monthly Financial Plan · Torque'!K48="","",'Monthly Financial Plan · Torque'!K48&lt;=0))="",FALSE,IF(ISERROR('Monthly Financial Plan · Torque'!K48&lt;=0),'Monthly Financial Plan · Torque'!K48&lt;=0,IF('Monthly Financial Plan · Torque'!K48="","",'Monthly Financial Plan · Torque'!K48&lt;=0))),0,'Monthly Financial Plan · Torque'!K48/(0-'Monthly Financial Plan · Torque'!K46)))</f>
        <v/>
      </c>
      <c r="L50" t="str" s="14">
        <f>IF(IF(IF(ISERROR('Monthly Financial Plan · Torque'!L46&gt;=0),'Monthly Financial Plan · Torque'!L46&gt;=0,IF('Monthly Financial Plan · Torque'!L46="","",'Monthly Financial Plan · Torque'!L46&gt;=0))="",FALSE,IF(ISERROR('Monthly Financial Plan · Torque'!L46&gt;=0),'Monthly Financial Plan · Torque'!L46&gt;=0,IF('Monthly Financial Plan · Torque'!L46="","",'Monthly Financial Plan · Torque'!L46&gt;=0))),"",IF(IF(IF(ISERROR('Monthly Financial Plan · Torque'!L48&lt;=0),'Monthly Financial Plan · Torque'!L48&lt;=0,IF('Monthly Financial Plan · Torque'!L48="","",'Monthly Financial Plan · Torque'!L48&lt;=0))="",FALSE,IF(ISERROR('Monthly Financial Plan · Torque'!L48&lt;=0),'Monthly Financial Plan · Torque'!L48&lt;=0,IF('Monthly Financial Plan · Torque'!L48="","",'Monthly Financial Plan · Torque'!L48&lt;=0))),0,'Monthly Financial Plan · Torque'!L48/(0-'Monthly Financial Plan · Torque'!L46)))</f>
        <v/>
      </c>
      <c r="M50" t="str" s="14">
        <f>IF(IF(IF(ISERROR('Monthly Financial Plan · Torque'!M46&gt;=0),'Monthly Financial Plan · Torque'!M46&gt;=0,IF('Monthly Financial Plan · Torque'!M46="","",'Monthly Financial Plan · Torque'!M46&gt;=0))="",FALSE,IF(ISERROR('Monthly Financial Plan · Torque'!M46&gt;=0),'Monthly Financial Plan · Torque'!M46&gt;=0,IF('Monthly Financial Plan · Torque'!M46="","",'Monthly Financial Plan · Torque'!M46&gt;=0))),"",IF(IF(IF(ISERROR('Monthly Financial Plan · Torque'!M48&lt;=0),'Monthly Financial Plan · Torque'!M48&lt;=0,IF('Monthly Financial Plan · Torque'!M48="","",'Monthly Financial Plan · Torque'!M48&lt;=0))="",FALSE,IF(ISERROR('Monthly Financial Plan · Torque'!M48&lt;=0),'Monthly Financial Plan · Torque'!M48&lt;=0,IF('Monthly Financial Plan · Torque'!M48="","",'Monthly Financial Plan · Torque'!M48&lt;=0))),0,'Monthly Financial Plan · Torque'!M48/(0-'Monthly Financial Plan · Torque'!M46)))</f>
        <v/>
      </c>
    </row>
    <row r="51">
      <c r="A51" t="inlineStr" s="5">
        <is>
          <t xml:space="preserve">AI spend limit at target margin</t>
        </is>
      </c>
      <c r="B51" s="17">
        <f>'Monthly Financial Plan · Torque'!B27*(1-'Torque Assumptions · Growth &amp; o'!B12)-'Monthly Financial Plan · Torque'!B32-'Monthly Financial Plan · Torque'!B33-'Monthly Financial Plan · Torque'!B30-'Monthly Financial Plan · Torque'!B31</f>
        <v>-42.17441250000002</v>
      </c>
      <c r="C51" s="17">
        <f>'Monthly Financial Plan · Torque'!C27*(1-'Torque Assumptions · Growth &amp; o'!B12)-'Monthly Financial Plan · Torque'!C32-'Monthly Financial Plan · Torque'!C33-'Monthly Financial Plan · Torque'!C30-'Monthly Financial Plan · Torque'!C31</f>
        <v>88.00251224999997</v>
      </c>
      <c r="D51" s="17">
        <f>'Monthly Financial Plan · Torque'!D27*(1-'Torque Assumptions · Growth &amp; o'!B12)-'Monthly Financial Plan · Torque'!D32-'Monthly Financial Plan · Torque'!D33-'Monthly Financial Plan · Torque'!D30-'Monthly Financial Plan · Torque'!D31</f>
        <v>246.34580113874986</v>
      </c>
      <c r="E51" s="17">
        <f>'Monthly Financial Plan · Torque'!E27*(1-'Torque Assumptions · Growth &amp; o'!B12)-'Monthly Financial Plan · Torque'!E32-'Monthly Financial Plan · Torque'!E33-'Monthly Financial Plan · Torque'!E30-'Monthly Financial Plan · Torque'!E31</f>
        <v>440.111327865525</v>
      </c>
      <c r="F51" s="17">
        <f>'Monthly Financial Plan · Torque'!F27*(1-'Torque Assumptions · Growth &amp; o'!B12)-'Monthly Financial Plan · Torque'!F32-'Monthly Financial Plan · Torque'!F33-'Monthly Financial Plan · Torque'!F30-'Monthly Financial Plan · Torque'!F31</f>
        <v>678.3568480144248</v>
      </c>
      <c r="G51" s="17">
        <f>'Monthly Financial Plan · Torque'!G27*(1-'Torque Assumptions · Growth &amp; o'!B12)-'Monthly Financial Plan · Torque'!G32-'Monthly Financial Plan · Torque'!G33-'Monthly Financial Plan · Torque'!G30-'Monthly Financial Plan · Torque'!G31</f>
        <v>972.3932358829751</v>
      </c>
      <c r="H51" s="17">
        <f>'Monthly Financial Plan · Torque'!H27*(1-'Torque Assumptions · Growth &amp; o'!B12)-'Monthly Financial Plan · Torque'!H32-'Monthly Financial Plan · Torque'!H33-'Monthly Financial Plan · Torque'!H30-'Monthly Financial Plan · Torque'!H31</f>
        <v>1336.3484776704415</v>
      </c>
      <c r="I51" s="17">
        <f>'Monthly Financial Plan · Torque'!I27*(1-'Torque Assumptions · Growth &amp; o'!B12)-'Monthly Financial Plan · Torque'!I32-'Monthly Financial Plan · Torque'!I33-'Monthly Financial Plan · Torque'!I30-'Monthly Financial Plan · Torque'!I31</f>
        <v>1787.8726139675355</v>
      </c>
      <c r="J51" s="17">
        <f>'Monthly Financial Plan · Torque'!J27*(1-'Torque Assumptions · Growth &amp; o'!B12)-'Monthly Financial Plan · Torque'!J32-'Monthly Financial Plan · Torque'!J33-'Monthly Financial Plan · Torque'!J30-'Monthly Financial Plan · Torque'!J31</f>
        <v>2349.018872433868</v>
      </c>
      <c r="K51" s="17">
        <f>'Monthly Financial Plan · Torque'!K27*(1-'Torque Assumptions · Growth &amp; o'!B12)-'Monthly Financial Plan · Torque'!K32-'Monthly Financial Plan · Torque'!K33-'Monthly Financial Plan · Torque'!K30-'Monthly Financial Plan · Torque'!K31</f>
        <v>3047.345041502766</v>
      </c>
      <c r="L51" s="17">
        <f>'Monthly Financial Plan · Torque'!L27*(1-'Torque Assumptions · Growth &amp; o'!B12)-'Monthly Financial Plan · Torque'!L32-'Monthly Financial Plan · Torque'!L33-'Monthly Financial Plan · Torque'!L30-'Monthly Financial Plan · Torque'!L31</f>
        <v>3917.290148415348</v>
      </c>
      <c r="M51" s="17">
        <f>'Monthly Financial Plan · Torque'!M27*(1-'Torque Assumptions · Growth &amp; o'!B12)-'Monthly Financial Plan · Torque'!M32-'Monthly Financial Plan · Torque'!M33-'Monthly Financial Plan · Torque'!M30-'Monthly Financial Plan · Torque'!M31</f>
        <v>5001.8952704826515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B2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Unit Economics &amp; Sensitivity · Unit economics per issue run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LLM cost per attempt</t>
        </is>
      </c>
      <c r="B5" s="22">
        <f>('Torque Assumptions · Run cost a'!B5*'Torque Assumptions · Run cost a'!B7+'Torque Assumptions · Run cost a'!B6*'Torque Assumptions · Run cost a'!B8)/1000000</f>
        <v>0.75</v>
      </c>
    </row>
    <row r="6">
      <c r="A6" t="inlineStr" s="7">
        <is>
          <t xml:space="preserve">Sandbox cost per attempt</t>
        </is>
      </c>
      <c r="B6" s="23">
        <f>'Torque Assumptions · Run cost a'!B12*'Torque Assumptions · Run cost a'!B13</f>
        <v>0.06</v>
      </c>
    </row>
    <row r="7">
      <c r="A7" t="inlineStr" s="7">
        <is>
          <t xml:space="preserve">Attempt equivalents per run</t>
        </is>
      </c>
      <c r="B7" s="24">
        <f>1+MIN('Torque Assumptions · Run cost a'!B9,'Torque Assumptions · Run cost a'!B10)*'Torque Assumptions · Run cost a'!B11</f>
        <v>1.3</v>
      </c>
    </row>
    <row r="8">
      <c r="A8" t="inlineStr" s="7">
        <is>
          <t xml:space="preserve">LLM cost per run</t>
        </is>
      </c>
      <c r="B8" s="23">
        <f>'Unit Economics &amp; Sensitivity ·'!B5*'Unit Economics &amp; Sensitivity ·'!B7</f>
        <v>0.9750000000000001</v>
      </c>
    </row>
    <row r="9">
      <c r="A9" t="inlineStr" s="7">
        <is>
          <t xml:space="preserve">Sandbox cost per run</t>
        </is>
      </c>
      <c r="B9" s="23">
        <f>'Unit Economics &amp; Sensitivity ·'!B6*'Unit Economics &amp; Sensitivity ·'!B7</f>
        <v>0.078</v>
      </c>
    </row>
    <row r="10">
      <c r="A10" t="inlineStr" s="7">
        <is>
          <t xml:space="preserve">Tooling and storage cost per run</t>
        </is>
      </c>
      <c r="B10" s="23">
        <f>'Torque Assumptions · Run cost a'!B14+'Torque Assumptions · Run cost a'!B15+'Torque Assumptions · Run cost a'!B16</f>
        <v>0.025</v>
      </c>
    </row>
    <row r="11">
      <c r="A11" t="inlineStr" s="19">
        <is>
          <t xml:space="preserve">Cost per attempted issue run</t>
        </is>
      </c>
      <c r="B11" s="25">
        <f>'Unit Economics &amp; Sensitivity ·'!B8+'Unit Economics &amp; Sensitivity ·'!B9+'Unit Economics &amp; Sensitivity ·'!B10</f>
        <v>1.078</v>
      </c>
    </row>
    <row r="12">
      <c r="A12" t="inlineStr" s="19">
        <is>
          <t xml:space="preserve">Cost per verified pull request</t>
        </is>
      </c>
      <c r="B12" s="25">
        <f>IFERROR('Unit Economics &amp; Sensitivity ·'!B11/'Torque Assumptions · Run cost a'!B17,"")</f>
        <v>1.7966666666666669</v>
      </c>
    </row>
    <row r="13">
      <c r="A13" t="inlineStr" s="7">
        <is>
          <t xml:space="preserve">Worst case cost per run at retry limit</t>
        </is>
      </c>
      <c r="B13" s="26">
        <f>('Unit Economics &amp; Sensitivity ·'!B5+'Unit Economics &amp; Sensitivity ·'!B6)*(1+'Torque Assumptions · Run cost a'!B10*'Torque Assumptions · Run cost a'!B11)+'Unit Economics &amp; Sensitivity ·'!B10</f>
        <v>1.645</v>
      </c>
    </row>
    <row r="14">
      <c r="A14" t="inlineStr" s="7">
        <is>
          <t xml:space="preserve">Blended revenue per customer</t>
        </is>
      </c>
      <c r="B14" s="26">
        <f>SUM('Torque Assumptions · Tier prici'!L5,'Torque Assumptions · Tier prici'!L6,'Torque Assumptions · Tier prici'!L7)</f>
        <v>116.48749999999998</v>
      </c>
    </row>
    <row r="15">
      <c r="A15" t="inlineStr" s="7">
        <is>
          <t xml:space="preserve">Blended runs per customer</t>
        </is>
      </c>
      <c r="B15" s="14">
        <f>SUM('Torque Assumptions · Tier prici'!M5,'Torque Assumptions · Tier prici'!M6,'Torque Assumptions · Tier prici'!M7)</f>
        <v>46.025</v>
      </c>
    </row>
    <row r="16">
      <c r="A16" t="inlineStr" s="7">
        <is>
          <t xml:space="preserve">Blended full allowance runs per customer</t>
        </is>
      </c>
      <c r="B16" s="14">
        <f>SUM('Torque Assumptions · Tier prici'!N5,'Torque Assumptions · Tier prici'!N6,'Torque Assumptions · Tier prici'!N7)</f>
        <v>72.05</v>
      </c>
    </row>
    <row r="17">
      <c r="A17" t="inlineStr" s="7">
        <is>
          <t xml:space="preserve">Variable cost per customer</t>
        </is>
      </c>
      <c r="B17" s="26">
        <f>'Unit Economics &amp; Sensitivity ·'!B15*'Unit Economics &amp; Sensitivity ·'!B11+'Unit Economics &amp; Sensitivity ·'!B14*'Torque Assumptions · Growth &amp; o'!B13+'Torque Assumptions · Growth &amp; o'!B14</f>
        <v>53.2930875</v>
      </c>
    </row>
    <row r="18">
      <c r="A18" t="inlineStr" s="7">
        <is>
          <t xml:space="preserve">Contribution per customer</t>
        </is>
      </c>
      <c r="B18" s="26">
        <f>'Unit Economics &amp; Sensitivity ·'!B14-'Unit Economics &amp; Sensitivity ·'!B17</f>
        <v>63.194412499999984</v>
      </c>
    </row>
    <row r="19">
      <c r="A19" t="inlineStr" s="7">
        <is>
          <t xml:space="preserve">Contribution margin</t>
        </is>
      </c>
      <c r="B19" s="21">
        <f>IFERROR('Unit Economics &amp; Sensitivity ·'!B18/'Unit Economics &amp; Sensitivity ·'!B14,"")</f>
        <v>0.5424995171155703</v>
      </c>
    </row>
    <row r="20">
      <c r="A20" t="inlineStr" s="7">
        <is>
          <t xml:space="preserve">Fixed monthly costs</t>
        </is>
      </c>
      <c r="B20" s="18">
        <f>'Torque Assumptions · Growth &amp; o'!B7+'Torque Assumptions · Growth &amp; o'!B8+'Torque Assumptions · Growth &amp; o'!B9+'Torque Assumptions · Growth &amp; o'!B10</f>
        <v>850</v>
      </c>
    </row>
    <row r="21">
      <c r="A21" t="inlineStr" s="19">
        <is>
          <t xml:space="preserve">Break even customers</t>
        </is>
      </c>
      <c r="B21" s="27">
        <f>IF(IF(IF(ISERROR('Unit Economics &amp; Sensitivity ·'!B18&gt;0),'Unit Economics &amp; Sensitivity ·'!B18&gt;0,IF('Unit Economics &amp; Sensitivity ·'!B18="","",'Unit Economics &amp; Sensitivity ·'!B18&gt;0))="",FALSE,IF(ISERROR('Unit Economics &amp; Sensitivity ·'!B18&gt;0),'Unit Economics &amp; Sensitivity ·'!B18&gt;0,IF('Unit Economics &amp; Sensitivity ·'!B18="","",'Unit Economics &amp; Sensitivity ·'!B18&gt;0))),CEILING('Unit Economics &amp; Sensitivity ·'!B20/'Unit Economics &amp; Sensitivity ·'!B18,1),"")</f>
        <v>14</v>
      </c>
    </row>
    <row r="22">
      <c r="A22" t="inlineStr" s="7">
        <is>
          <t xml:space="preserve">Max run spend per customer at target margin</t>
        </is>
      </c>
      <c r="B22" s="26">
        <f>'Unit Economics &amp; Sensitivity ·'!B14*(1-'Torque Assumptions · Growth &amp; o'!B12)-'Unit Economics &amp; Sensitivity ·'!B14*'Torque Assumptions · Growth &amp; o'!B13-'Torque Assumptions · Growth &amp; o'!B14</f>
        <v>37.09248749999999</v>
      </c>
    </row>
    <row r="23">
      <c r="A23" t="inlineStr" s="5">
        <is>
          <t xml:space="preserve">Max runs per customer at target margin</t>
        </is>
      </c>
      <c r="B23" s="10">
        <f>IFERROR('Unit Economics &amp; Sensitivity ·'!B22/'Unit Economics &amp; Sensitivity ·'!B11,"")</f>
        <v>34.4086154916512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L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</cols>
  <sheetData>
    <row r="1" ht="32" customHeight="1">
      <c r="A1" t="inlineStr" s="1">
        <is>
          <t xml:space="preserve">Unit Economics &amp; Sensitivity · Sensitivity: cost and margin stress tests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Model cost multiplier</t>
        </is>
      </c>
      <c r="C4" t="inlineStr" s="4">
        <is>
          <t xml:space="preserve">Retry multiplier</t>
        </is>
      </c>
      <c r="D4" t="inlineStr" s="4">
        <is>
          <t xml:space="preserve">Success rate change</t>
        </is>
      </c>
      <c r="E4" t="inlineStr" s="4">
        <is>
          <t xml:space="preserve">Full allowance flag</t>
        </is>
      </c>
      <c r="F4" t="inlineStr" s="4">
        <is>
          <t xml:space="preserve">Stressed cost per run</t>
        </is>
      </c>
      <c r="G4" t="inlineStr" s="4">
        <is>
          <t xml:space="preserve">Stressed success rate</t>
        </is>
      </c>
      <c r="H4" t="inlineStr" s="4">
        <is>
          <t xml:space="preserve">Stressed cost per verified PR</t>
        </is>
      </c>
      <c r="I4" t="inlineStr" s="4">
        <is>
          <t xml:space="preserve">Stressed runs per customer</t>
        </is>
      </c>
      <c r="J4" t="inlineStr" s="4">
        <is>
          <t xml:space="preserve">Stressed contribution per customer</t>
        </is>
      </c>
      <c r="K4" t="inlineStr" s="4">
        <is>
          <t xml:space="preserve">Stressed contribution margin</t>
        </is>
      </c>
      <c r="L4" t="inlineStr" s="4">
        <is>
          <t xml:space="preserve">Stressed break even customers</t>
        </is>
      </c>
    </row>
    <row r="5">
      <c r="A5" t="inlineStr" s="5">
        <is>
          <t xml:space="preserve">Base case</t>
        </is>
      </c>
      <c r="B5" s="28">
        <f>1</f>
        <v>1</v>
      </c>
      <c r="C5" s="28">
        <f>1</f>
        <v>1</v>
      </c>
      <c r="D5" s="29">
        <f>0</f>
        <v>0</v>
      </c>
      <c r="E5" s="15">
        <f>0</f>
        <v>0</v>
      </c>
      <c r="F5" s="30">
        <f>('Unit Economics &amp; Sensitivity ·'!B5*'Unit Economics &amp; Sensitivit (2)'!B5+'Unit Economics &amp; Sensitivity ·'!B6)*(1+MIN('Torque Assumptions · Run cost a'!B9*'Unit Economics &amp; Sensitivit (2)'!C5,'Torque Assumptions · Run cost a'!B10)*'Torque Assumptions · Run cost a'!B11)+'Unit Economics &amp; Sensitivity ·'!B10</f>
        <v>1.078</v>
      </c>
      <c r="G5" s="29">
        <f>'Torque Assumptions · Run cost a'!B17+'Unit Economics &amp; Sensitivit (2)'!D5</f>
        <v>0.6</v>
      </c>
      <c r="H5" s="30">
        <f>IFERROR('Unit Economics &amp; Sensitivit (2)'!F5/'Unit Economics &amp; Sensitivit (2)'!G5,"")</f>
        <v>1.7966666666666669</v>
      </c>
      <c r="I5" s="10">
        <f>IF(IF(IF(ISERROR('Unit Economics &amp; Sensitivit (2)'!E5=1),'Unit Economics &amp; Sensitivit (2)'!E5=1,IF('Unit Economics &amp; Sensitivit (2)'!E5="","",'Unit Economics &amp; Sensitivit (2)'!E5=1))="",FALSE,IF(ISERROR('Unit Economics &amp; Sensitivit (2)'!E5=1),'Unit Economics &amp; Sensitivit (2)'!E5=1,IF('Unit Economics &amp; Sensitivit (2)'!E5="","",'Unit Economics &amp; Sensitivit (2)'!E5=1))),IF('Unit Economics &amp; Sensitivity ·'!B16="","",'Unit Economics &amp; Sensitivity ·'!B16),IF('Unit Economics &amp; Sensitivity ·'!B15="","",'Unit Economics &amp; Sensitivity ·'!B15))</f>
        <v>46.025</v>
      </c>
      <c r="J5" s="30">
        <f>'Unit Economics &amp; Sensitivity ·'!B14-'Unit Economics &amp; Sensitivit (2)'!I5*'Unit Economics &amp; Sensitivit (2)'!F5-'Unit Economics &amp; Sensitivity ·'!B14*'Torque Assumptions · Growth &amp; o'!B13-'Torque Assumptions · Growth &amp; o'!B14</f>
        <v>63.19441249999999</v>
      </c>
      <c r="K5" s="31">
        <f>IFERROR('Unit Economics &amp; Sensitivit (2)'!J5/'Unit Economics &amp; Sensitivity ·'!B14,"")</f>
        <v>0.5424995171155703</v>
      </c>
      <c r="L5" s="15">
        <f>IF(IF(IF(ISERROR('Unit Economics &amp; Sensitivit (2)'!J5&gt;0),'Unit Economics &amp; Sensitivit (2)'!J5&gt;0,IF('Unit Economics &amp; Sensitivit (2)'!J5="","",'Unit Economics &amp; Sensitivit (2)'!J5&gt;0))="",FALSE,IF(ISERROR('Unit Economics &amp; Sensitivit (2)'!J5&gt;0),'Unit Economics &amp; Sensitivit (2)'!J5&gt;0,IF('Unit Economics &amp; Sensitivit (2)'!J5="","",'Unit Economics &amp; Sensitivit (2)'!J5&gt;0))),CEILING('Unit Economics &amp; Sensitivity ·'!B20/'Unit Economics &amp; Sensitivit (2)'!J5,1),"")</f>
        <v>14</v>
      </c>
    </row>
    <row r="6">
      <c r="A6" t="inlineStr" s="7">
        <is>
          <t xml:space="preserve">Model costs +50%</t>
        </is>
      </c>
      <c r="B6" s="32">
        <f>1.5</f>
        <v>1.5</v>
      </c>
      <c r="C6" s="32">
        <f>1</f>
        <v>1</v>
      </c>
      <c r="D6" s="33">
        <f>0</f>
        <v>0</v>
      </c>
      <c r="E6" s="16">
        <f>0</f>
        <v>0</v>
      </c>
      <c r="F6" s="26">
        <f>('Unit Economics &amp; Sensitivity ·'!B5*'Unit Economics &amp; Sensitivit (2)'!B6+'Unit Economics &amp; Sensitivity ·'!B6)*(1+MIN('Torque Assumptions · Run cost a'!B9*'Unit Economics &amp; Sensitivit (2)'!C6,'Torque Assumptions · Run cost a'!B10)*'Torque Assumptions · Run cost a'!B11)+'Unit Economics &amp; Sensitivity ·'!B10</f>
        <v>1.5655000000000001</v>
      </c>
      <c r="G6" s="33">
        <f>'Torque Assumptions · Run cost a'!B17+'Unit Economics &amp; Sensitivit (2)'!D6</f>
        <v>0.6</v>
      </c>
      <c r="H6" s="26">
        <f>IFERROR('Unit Economics &amp; Sensitivit (2)'!F6/'Unit Economics &amp; Sensitivit (2)'!G6,"")</f>
        <v>2.609166666666667</v>
      </c>
      <c r="I6" s="14">
        <f>IF(IF(IF(ISERROR('Unit Economics &amp; Sensitivit (2)'!E6=1),'Unit Economics &amp; Sensitivit (2)'!E6=1,IF('Unit Economics &amp; Sensitivit (2)'!E6="","",'Unit Economics &amp; Sensitivit (2)'!E6=1))="",FALSE,IF(ISERROR('Unit Economics &amp; Sensitivit (2)'!E6=1),'Unit Economics &amp; Sensitivit (2)'!E6=1,IF('Unit Economics &amp; Sensitivit (2)'!E6="","",'Unit Economics &amp; Sensitivit (2)'!E6=1))),IF('Unit Economics &amp; Sensitivity ·'!B16="","",'Unit Economics &amp; Sensitivity ·'!B16),IF('Unit Economics &amp; Sensitivity ·'!B15="","",'Unit Economics &amp; Sensitivity ·'!B15))</f>
        <v>46.025</v>
      </c>
      <c r="J6" s="26">
        <f>'Unit Economics &amp; Sensitivity ·'!B14-'Unit Economics &amp; Sensitivit (2)'!I6*'Unit Economics &amp; Sensitivit (2)'!F6-'Unit Economics &amp; Sensitivity ·'!B14*'Torque Assumptions · Growth &amp; o'!B13-'Torque Assumptions · Growth &amp; o'!B14</f>
        <v>40.757224999999984</v>
      </c>
      <c r="K6" s="21">
        <f>IFERROR('Unit Economics &amp; Sensitivit (2)'!J6/'Unit Economics &amp; Sensitivity ·'!B14,"")</f>
        <v>0.34988496619808984</v>
      </c>
      <c r="L6" s="16">
        <f>IF(IF(IF(ISERROR('Unit Economics &amp; Sensitivit (2)'!J6&gt;0),'Unit Economics &amp; Sensitivit (2)'!J6&gt;0,IF('Unit Economics &amp; Sensitivit (2)'!J6="","",'Unit Economics &amp; Sensitivit (2)'!J6&gt;0))="",FALSE,IF(ISERROR('Unit Economics &amp; Sensitivit (2)'!J6&gt;0),'Unit Economics &amp; Sensitivit (2)'!J6&gt;0,IF('Unit Economics &amp; Sensitivit (2)'!J6="","",'Unit Economics &amp; Sensitivit (2)'!J6&gt;0))),CEILING('Unit Economics &amp; Sensitivity ·'!B20/'Unit Economics &amp; Sensitivit (2)'!J6,1),"")</f>
        <v>21</v>
      </c>
    </row>
    <row r="7">
      <c r="A7" t="inlineStr" s="7">
        <is>
          <t xml:space="preserve">Retries doubled</t>
        </is>
      </c>
      <c r="B7" s="32">
        <f>1</f>
        <v>1</v>
      </c>
      <c r="C7" s="32">
        <f>2</f>
        <v>2</v>
      </c>
      <c r="D7" s="33">
        <f>0</f>
        <v>0</v>
      </c>
      <c r="E7" s="16">
        <f>0</f>
        <v>0</v>
      </c>
      <c r="F7" s="26">
        <f>('Unit Economics &amp; Sensitivity ·'!B5*'Unit Economics &amp; Sensitivit (2)'!B7+'Unit Economics &amp; Sensitivity ·'!B6)*(1+MIN('Torque Assumptions · Run cost a'!B9*'Unit Economics &amp; Sensitivit (2)'!C7,'Torque Assumptions · Run cost a'!B10)*'Torque Assumptions · Run cost a'!B11)+'Unit Economics &amp; Sensitivity ·'!B10</f>
        <v>1.3210000000000002</v>
      </c>
      <c r="G7" s="33">
        <f>'Torque Assumptions · Run cost a'!B17+'Unit Economics &amp; Sensitivit (2)'!D7</f>
        <v>0.6</v>
      </c>
      <c r="H7" s="26">
        <f>IFERROR('Unit Economics &amp; Sensitivit (2)'!F7/'Unit Economics &amp; Sensitivit (2)'!G7,"")</f>
        <v>2.201666666666667</v>
      </c>
      <c r="I7" s="14">
        <f>IF(IF(IF(ISERROR('Unit Economics &amp; Sensitivit (2)'!E7=1),'Unit Economics &amp; Sensitivit (2)'!E7=1,IF('Unit Economics &amp; Sensitivit (2)'!E7="","",'Unit Economics &amp; Sensitivit (2)'!E7=1))="",FALSE,IF(ISERROR('Unit Economics &amp; Sensitivit (2)'!E7=1),'Unit Economics &amp; Sensitivit (2)'!E7=1,IF('Unit Economics &amp; Sensitivit (2)'!E7="","",'Unit Economics &amp; Sensitivit (2)'!E7=1))),IF('Unit Economics &amp; Sensitivity ·'!B16="","",'Unit Economics &amp; Sensitivity ·'!B16),IF('Unit Economics &amp; Sensitivity ·'!B15="","",'Unit Economics &amp; Sensitivity ·'!B15))</f>
        <v>46.025</v>
      </c>
      <c r="J7" s="26">
        <f>'Unit Economics &amp; Sensitivity ·'!B14-'Unit Economics &amp; Sensitivit (2)'!I7*'Unit Economics &amp; Sensitivit (2)'!F7-'Unit Economics &amp; Sensitivity ·'!B14*'Torque Assumptions · Growth &amp; o'!B13-'Torque Assumptions · Growth &amp; o'!B14</f>
        <v>52.01033749999998</v>
      </c>
      <c r="K7" s="21">
        <f>IFERROR('Unit Economics &amp; Sensitivit (2)'!J7/'Unit Economics &amp; Sensitivity ·'!B14,"")</f>
        <v>0.4464885717351646</v>
      </c>
      <c r="L7" s="16">
        <f>IF(IF(IF(ISERROR('Unit Economics &amp; Sensitivit (2)'!J7&gt;0),'Unit Economics &amp; Sensitivit (2)'!J7&gt;0,IF('Unit Economics &amp; Sensitivit (2)'!J7="","",'Unit Economics &amp; Sensitivit (2)'!J7&gt;0))="",FALSE,IF(ISERROR('Unit Economics &amp; Sensitivit (2)'!J7&gt;0),'Unit Economics &amp; Sensitivit (2)'!J7&gt;0,IF('Unit Economics &amp; Sensitivit (2)'!J7="","",'Unit Economics &amp; Sensitivit (2)'!J7&gt;0))),CEILING('Unit Economics &amp; Sensitivity ·'!B20/'Unit Economics &amp; Sensitivit (2)'!J7,1),"")</f>
        <v>17</v>
      </c>
    </row>
    <row r="8">
      <c r="A8" t="inlineStr" s="7">
        <is>
          <t xml:space="preserve">Success rate -15 pts</t>
        </is>
      </c>
      <c r="B8" s="32">
        <f>1</f>
        <v>1</v>
      </c>
      <c r="C8" s="32">
        <f>1</f>
        <v>1</v>
      </c>
      <c r="D8" s="33">
        <f>-0.15</f>
        <v>-0.15</v>
      </c>
      <c r="E8" s="16">
        <f>0</f>
        <v>0</v>
      </c>
      <c r="F8" s="26">
        <f>('Unit Economics &amp; Sensitivity ·'!B5*'Unit Economics &amp; Sensitivit (2)'!B8+'Unit Economics &amp; Sensitivity ·'!B6)*(1+MIN('Torque Assumptions · Run cost a'!B9*'Unit Economics &amp; Sensitivit (2)'!C8,'Torque Assumptions · Run cost a'!B10)*'Torque Assumptions · Run cost a'!B11)+'Unit Economics &amp; Sensitivity ·'!B10</f>
        <v>1.078</v>
      </c>
      <c r="G8" s="33">
        <f>'Torque Assumptions · Run cost a'!B17+'Unit Economics &amp; Sensitivit (2)'!D8</f>
        <v>0.44999999999999996</v>
      </c>
      <c r="H8" s="26">
        <f>IFERROR('Unit Economics &amp; Sensitivit (2)'!F8/'Unit Economics &amp; Sensitivit (2)'!G8,"")</f>
        <v>2.395555555555556</v>
      </c>
      <c r="I8" s="14">
        <f>IF(IF(IF(ISERROR('Unit Economics &amp; Sensitivit (2)'!E8=1),'Unit Economics &amp; Sensitivit (2)'!E8=1,IF('Unit Economics &amp; Sensitivit (2)'!E8="","",'Unit Economics &amp; Sensitivit (2)'!E8=1))="",FALSE,IF(ISERROR('Unit Economics &amp; Sensitivit (2)'!E8=1),'Unit Economics &amp; Sensitivit (2)'!E8=1,IF('Unit Economics &amp; Sensitivit (2)'!E8="","",'Unit Economics &amp; Sensitivit (2)'!E8=1))),IF('Unit Economics &amp; Sensitivity ·'!B16="","",'Unit Economics &amp; Sensitivity ·'!B16),IF('Unit Economics &amp; Sensitivity ·'!B15="","",'Unit Economics &amp; Sensitivity ·'!B15))</f>
        <v>46.025</v>
      </c>
      <c r="J8" s="26">
        <f>'Unit Economics &amp; Sensitivity ·'!B14-'Unit Economics &amp; Sensitivit (2)'!I8*'Unit Economics &amp; Sensitivit (2)'!F8-'Unit Economics &amp; Sensitivity ·'!B14*'Torque Assumptions · Growth &amp; o'!B13-'Torque Assumptions · Growth &amp; o'!B14</f>
        <v>63.19441249999999</v>
      </c>
      <c r="K8" s="21">
        <f>IFERROR('Unit Economics &amp; Sensitivit (2)'!J8/'Unit Economics &amp; Sensitivity ·'!B14,"")</f>
        <v>0.5424995171155703</v>
      </c>
      <c r="L8" s="16">
        <f>IF(IF(IF(ISERROR('Unit Economics &amp; Sensitivit (2)'!J8&gt;0),'Unit Economics &amp; Sensitivit (2)'!J8&gt;0,IF('Unit Economics &amp; Sensitivit (2)'!J8="","",'Unit Economics &amp; Sensitivit (2)'!J8&gt;0))="",FALSE,IF(ISERROR('Unit Economics &amp; Sensitivit (2)'!J8&gt;0),'Unit Economics &amp; Sensitivit (2)'!J8&gt;0,IF('Unit Economics &amp; Sensitivit (2)'!J8="","",'Unit Economics &amp; Sensitivit (2)'!J8&gt;0))),CEILING('Unit Economics &amp; Sensitivity ·'!B20/'Unit Economics &amp; Sensitivit (2)'!J8,1),"")</f>
        <v>14</v>
      </c>
    </row>
    <row r="9">
      <c r="A9" t="inlineStr" s="7">
        <is>
          <t xml:space="preserve">Full allowance use</t>
        </is>
      </c>
      <c r="B9" s="32">
        <f>1</f>
        <v>1</v>
      </c>
      <c r="C9" s="32">
        <f>1</f>
        <v>1</v>
      </c>
      <c r="D9" s="33">
        <f>0</f>
        <v>0</v>
      </c>
      <c r="E9" s="16">
        <f>1</f>
        <v>1</v>
      </c>
      <c r="F9" s="26">
        <f>('Unit Economics &amp; Sensitivity ·'!B5*'Unit Economics &amp; Sensitivit (2)'!B9+'Unit Economics &amp; Sensitivity ·'!B6)*(1+MIN('Torque Assumptions · Run cost a'!B9*'Unit Economics &amp; Sensitivit (2)'!C9,'Torque Assumptions · Run cost a'!B10)*'Torque Assumptions · Run cost a'!B11)+'Unit Economics &amp; Sensitivity ·'!B10</f>
        <v>1.078</v>
      </c>
      <c r="G9" s="33">
        <f>'Torque Assumptions · Run cost a'!B17+'Unit Economics &amp; Sensitivit (2)'!D9</f>
        <v>0.6</v>
      </c>
      <c r="H9" s="26">
        <f>IFERROR('Unit Economics &amp; Sensitivit (2)'!F9/'Unit Economics &amp; Sensitivit (2)'!G9,"")</f>
        <v>1.7966666666666669</v>
      </c>
      <c r="I9" s="14">
        <f>IF(IF(IF(ISERROR('Unit Economics &amp; Sensitivit (2)'!E9=1),'Unit Economics &amp; Sensitivit (2)'!E9=1,IF('Unit Economics &amp; Sensitivit (2)'!E9="","",'Unit Economics &amp; Sensitivit (2)'!E9=1))="",FALSE,IF(ISERROR('Unit Economics &amp; Sensitivit (2)'!E9=1),'Unit Economics &amp; Sensitivit (2)'!E9=1,IF('Unit Economics &amp; Sensitivit (2)'!E9="","",'Unit Economics &amp; Sensitivit (2)'!E9=1))),IF('Unit Economics &amp; Sensitivity ·'!B16="","",'Unit Economics &amp; Sensitivity ·'!B16),IF('Unit Economics &amp; Sensitivity ·'!B15="","",'Unit Economics &amp; Sensitivity ·'!B15))</f>
        <v>72.05</v>
      </c>
      <c r="J9" s="26">
        <f>'Unit Economics &amp; Sensitivity ·'!B14-'Unit Economics &amp; Sensitivit (2)'!I9*'Unit Economics &amp; Sensitivit (2)'!F9-'Unit Economics &amp; Sensitivity ·'!B14*'Torque Assumptions · Growth &amp; o'!B13-'Torque Assumptions · Growth &amp; o'!B14</f>
        <v>35.139462499999986</v>
      </c>
      <c r="K9" s="21">
        <f>IFERROR('Unit Economics &amp; Sensitivit (2)'!J9/'Unit Economics &amp; Sensitivity ·'!B14,"")</f>
        <v>0.30165865436205597</v>
      </c>
      <c r="L9" s="16">
        <f>IF(IF(IF(ISERROR('Unit Economics &amp; Sensitivit (2)'!J9&gt;0),'Unit Economics &amp; Sensitivit (2)'!J9&gt;0,IF('Unit Economics &amp; Sensitivit (2)'!J9="","",'Unit Economics &amp; Sensitivit (2)'!J9&gt;0))="",FALSE,IF(ISERROR('Unit Economics &amp; Sensitivit (2)'!J9&gt;0),'Unit Economics &amp; Sensitivit (2)'!J9&gt;0,IF('Unit Economics &amp; Sensitivit (2)'!J9="","",'Unit Economics &amp; Sensitivit (2)'!J9&gt;0))),CEILING('Unit Economics &amp; Sensitivity ·'!B20/'Unit Economics &amp; Sensitivit (2)'!J9,1),"")</f>
        <v>25</v>
      </c>
    </row>
    <row r="10">
      <c r="A10" t="inlineStr" s="5">
        <is>
          <t xml:space="preserve">All stresses combined</t>
        </is>
      </c>
      <c r="B10" s="28">
        <f>1.5</f>
        <v>1.5</v>
      </c>
      <c r="C10" s="28">
        <f>2</f>
        <v>2</v>
      </c>
      <c r="D10" s="29">
        <f>-0.15</f>
        <v>-0.15</v>
      </c>
      <c r="E10" s="15">
        <f>1</f>
        <v>1</v>
      </c>
      <c r="F10" s="30">
        <f>('Unit Economics &amp; Sensitivity ·'!B5*'Unit Economics &amp; Sensitivit (2)'!B10+'Unit Economics &amp; Sensitivity ·'!B6)*(1+MIN('Torque Assumptions · Run cost a'!B9*'Unit Economics &amp; Sensitivit (2)'!C10,'Torque Assumptions · Run cost a'!B10)*'Torque Assumptions · Run cost a'!B11)+'Unit Economics &amp; Sensitivity ·'!B10</f>
        <v>1.921</v>
      </c>
      <c r="G10" s="29">
        <f>'Torque Assumptions · Run cost a'!B17+'Unit Economics &amp; Sensitivit (2)'!D10</f>
        <v>0.44999999999999996</v>
      </c>
      <c r="H10" s="30">
        <f>IFERROR('Unit Economics &amp; Sensitivit (2)'!F10/'Unit Economics &amp; Sensitivit (2)'!G10,"")</f>
        <v>4.268888888888889</v>
      </c>
      <c r="I10" s="10">
        <f>IF(IF(IF(ISERROR('Unit Economics &amp; Sensitivit (2)'!E10=1),'Unit Economics &amp; Sensitivit (2)'!E10=1,IF('Unit Economics &amp; Sensitivit (2)'!E10="","",'Unit Economics &amp; Sensitivit (2)'!E10=1))="",FALSE,IF(ISERROR('Unit Economics &amp; Sensitivit (2)'!E10=1),'Unit Economics &amp; Sensitivit (2)'!E10=1,IF('Unit Economics &amp; Sensitivit (2)'!E10="","",'Unit Economics &amp; Sensitivit (2)'!E10=1))),IF('Unit Economics &amp; Sensitivity ·'!B16="","",'Unit Economics &amp; Sensitivity ·'!B16),IF('Unit Economics &amp; Sensitivity ·'!B15="","",'Unit Economics &amp; Sensitivity ·'!B15))</f>
        <v>72.05</v>
      </c>
      <c r="J10" s="30">
        <f>'Unit Economics &amp; Sensitivity ·'!B14-'Unit Economics &amp; Sensitivit (2)'!I10*'Unit Economics &amp; Sensitivit (2)'!F10-'Unit Economics &amp; Sensitivity ·'!B14*'Torque Assumptions · Growth &amp; o'!B13-'Torque Assumptions · Growth &amp; o'!B14</f>
        <v>-25.598687500000022</v>
      </c>
      <c r="K10" s="31">
        <f>IFERROR('Unit Economics &amp; Sensitivit (2)'!J10/'Unit Economics &amp; Sensitivity ·'!B14,"")</f>
        <v>-0.21975480201738407</v>
      </c>
      <c r="L10" t="str" s="15">
        <f>IF(IF(IF(ISERROR('Unit Economics &amp; Sensitivit (2)'!J10&gt;0),'Unit Economics &amp; Sensitivit (2)'!J10&gt;0,IF('Unit Economics &amp; Sensitivit (2)'!J10="","",'Unit Economics &amp; Sensitivit (2)'!J10&gt;0))="",FALSE,IF(ISERROR('Unit Economics &amp; Sensitivit (2)'!J10&gt;0),'Unit Economics &amp; Sensitivit (2)'!J10&gt;0,IF('Unit Economics &amp; Sensitivit (2)'!J10="","",'Unit Economics &amp; Sensitivit (2)'!J10&gt;0))),CEILING('Unit Economics &amp; Sensitivity ·'!B20/'Unit Economics &amp; Sensitivit (2)'!J10,1),"")</f>
        <v/>
      </c>
    </row>
  </sheetData>
  <mergeCells count="1">
    <mergeCell ref="A1:L1"/>
  </mergeCells>
</worksheet>
</file>

<file path=xl/worksheets/sheet5.xml><?xml version="1.0" encoding="utf-8"?>
<worksheet xmlns="http://schemas.openxmlformats.org/spreadsheetml/2006/main">
  <dimension ref="A1:N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</cols>
  <sheetData>
    <row r="1" ht="32" customHeight="1">
      <c r="A1" t="inlineStr" s="1">
        <is>
          <t xml:space="preserve">Torque Assumptions · Tier pricing &amp; usage (assumptions)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Included issue runs</t>
        </is>
      </c>
      <c r="D4" t="inlineStr" s="4">
        <is>
          <t xml:space="preserve">Overage price per run</t>
        </is>
      </c>
      <c r="E4" t="inlineStr" s="4">
        <is>
          <t xml:space="preserve">Allowance used</t>
        </is>
      </c>
      <c r="F4" t="inlineStr" s="4">
        <is>
          <t xml:space="preserve">Overage runs per customer</t>
        </is>
      </c>
      <c r="G4" t="inlineStr" s="4">
        <is>
          <t xml:space="preserve">New customer mix</t>
        </is>
      </c>
      <c r="H4" t="inlineStr" s="4">
        <is>
          <t xml:space="preserve">Monthly churn rate</t>
        </is>
      </c>
      <c r="I4" t="inlineStr" s="4">
        <is>
          <t xml:space="preserve">Expected runs per customer</t>
        </is>
      </c>
      <c r="J4" t="inlineStr" s="4">
        <is>
          <t xml:space="preserve">Full allowance runs per customer</t>
        </is>
      </c>
      <c r="K4" t="inlineStr" s="4">
        <is>
          <t xml:space="preserve">Revenue per customer</t>
        </is>
      </c>
      <c r="L4" t="inlineStr" s="4">
        <is>
          <t xml:space="preserve">Mix weighted revenue</t>
        </is>
      </c>
      <c r="M4" t="inlineStr" s="4">
        <is>
          <t xml:space="preserve">Mix weighted expected runs</t>
        </is>
      </c>
      <c r="N4" t="inlineStr" s="4">
        <is>
          <t xml:space="preserve">Mix weighted full allowance runs</t>
        </is>
      </c>
    </row>
    <row r="5">
      <c r="A5" t="inlineStr" s="5">
        <is>
          <t xml:space="preserve">Maintainer</t>
        </is>
      </c>
      <c r="B5" s="17">
        <f>29</f>
        <v>29</v>
      </c>
      <c r="C5" s="15">
        <f>20</f>
        <v>20</v>
      </c>
      <c r="D5" s="30">
        <f>2.5</f>
        <v>2.5</v>
      </c>
      <c r="E5" s="29">
        <f>0.55</f>
        <v>0.55</v>
      </c>
      <c r="F5" s="10">
        <f>0.5</f>
        <v>0.5</v>
      </c>
      <c r="G5" s="29">
        <f>0.5</f>
        <v>0.5</v>
      </c>
      <c r="H5" s="31">
        <f>0.08</f>
        <v>0.08</v>
      </c>
      <c r="I5" s="10">
        <f>'Torque Assumptions · Tier prici'!C5*'Torque Assumptions · Tier prici'!E5+'Torque Assumptions · Tier prici'!F5</f>
        <v>11.5</v>
      </c>
      <c r="J5" s="10">
        <f>'Torque Assumptions · Tier prici'!C5+'Torque Assumptions · Tier prici'!F5</f>
        <v>20.5</v>
      </c>
      <c r="K5" s="30">
        <f>'Torque Assumptions · Tier prici'!B5+'Torque Assumptions · Tier prici'!F5*'Torque Assumptions · Tier prici'!D5</f>
        <v>30.25</v>
      </c>
      <c r="L5" s="30">
        <f>'Torque Assumptions · Tier prici'!G5*'Torque Assumptions · Tier prici'!K5</f>
        <v>15.125</v>
      </c>
      <c r="M5" s="34">
        <f>'Torque Assumptions · Tier prici'!G5*'Torque Assumptions · Tier prici'!I5</f>
        <v>5.75</v>
      </c>
      <c r="N5" s="34">
        <f>'Torque Assumptions · Tier prici'!G5*'Torque Assumptions · Tier prici'!J5</f>
        <v>10.25</v>
      </c>
    </row>
    <row r="6">
      <c r="A6" t="inlineStr" s="7">
        <is>
          <t xml:space="preserve">Starter</t>
        </is>
      </c>
      <c r="B6" s="18">
        <f>99</f>
        <v>99</v>
      </c>
      <c r="C6" s="16">
        <f>60</f>
        <v>60</v>
      </c>
      <c r="D6" s="26">
        <f>2.25</f>
        <v>2.25</v>
      </c>
      <c r="E6" s="33">
        <f>0.6</f>
        <v>0.6</v>
      </c>
      <c r="F6" s="14">
        <f>3</f>
        <v>3</v>
      </c>
      <c r="G6" s="33">
        <f>0.35</f>
        <v>0.35</v>
      </c>
      <c r="H6" s="21">
        <f>0.05</f>
        <v>0.05</v>
      </c>
      <c r="I6" s="14">
        <f>'Torque Assumptions · Tier prici'!C6*'Torque Assumptions · Tier prici'!E6+'Torque Assumptions · Tier prici'!F6</f>
        <v>39</v>
      </c>
      <c r="J6" s="14">
        <f>'Torque Assumptions · Tier prici'!C6+'Torque Assumptions · Tier prici'!F6</f>
        <v>63</v>
      </c>
      <c r="K6" s="26">
        <f>'Torque Assumptions · Tier prici'!B6+'Torque Assumptions · Tier prici'!F6*'Torque Assumptions · Tier prici'!D6</f>
        <v>105.75</v>
      </c>
      <c r="L6" s="26">
        <f>'Torque Assumptions · Tier prici'!G6*'Torque Assumptions · Tier prici'!K6</f>
        <v>37.012499999999996</v>
      </c>
      <c r="M6" s="24">
        <f>'Torque Assumptions · Tier prici'!G6*'Torque Assumptions · Tier prici'!I6</f>
        <v>13.649999999999999</v>
      </c>
      <c r="N6" s="24">
        <f>'Torque Assumptions · Tier prici'!G6*'Torque Assumptions · Tier prici'!J6</f>
        <v>22.049999999999997</v>
      </c>
    </row>
    <row r="7">
      <c r="A7" t="inlineStr" s="5">
        <is>
          <t xml:space="preserve">Team</t>
        </is>
      </c>
      <c r="B7" s="17">
        <f>399</f>
        <v>399</v>
      </c>
      <c r="C7" s="15">
        <f>250</f>
        <v>250</v>
      </c>
      <c r="D7" s="30">
        <f>2</f>
        <v>2</v>
      </c>
      <c r="E7" s="29">
        <f>0.65</f>
        <v>0.65</v>
      </c>
      <c r="F7" s="10">
        <f>15</f>
        <v>15</v>
      </c>
      <c r="G7" s="29">
        <f>0.15</f>
        <v>0.15</v>
      </c>
      <c r="H7" s="31">
        <f>0.03</f>
        <v>0.03</v>
      </c>
      <c r="I7" s="10">
        <f>'Torque Assumptions · Tier prici'!C7*'Torque Assumptions · Tier prici'!E7+'Torque Assumptions · Tier prici'!F7</f>
        <v>177.5</v>
      </c>
      <c r="J7" s="10">
        <f>'Torque Assumptions · Tier prici'!C7+'Torque Assumptions · Tier prici'!F7</f>
        <v>265</v>
      </c>
      <c r="K7" s="30">
        <f>'Torque Assumptions · Tier prici'!B7+'Torque Assumptions · Tier prici'!F7*'Torque Assumptions · Tier prici'!D7</f>
        <v>429</v>
      </c>
      <c r="L7" s="30">
        <f>'Torque Assumptions · Tier prici'!G7*'Torque Assumptions · Tier prici'!K7</f>
        <v>64.35</v>
      </c>
      <c r="M7" s="34">
        <f>'Torque Assumptions · Tier prici'!G7*'Torque Assumptions · Tier prici'!I7</f>
        <v>26.625</v>
      </c>
      <c r="N7" s="34">
        <f>'Torque Assumptions · Tier prici'!G7*'Torque Assumptions · Tier prici'!J7</f>
        <v>39.75</v>
      </c>
    </row>
  </sheetData>
  <mergeCells count="1">
    <mergeCell ref="A1:N1"/>
  </mergeCells>
</worksheet>
</file>

<file path=xl/worksheets/sheet6.xml><?xml version="1.0" encoding="utf-8"?>
<worksheet xmlns="http://schemas.openxmlformats.org/spreadsheetml/2006/main">
  <dimension ref="A1:B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Torque Assumptions · Run cost assumptions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Input tokens per attempt</t>
        </is>
      </c>
      <c r="B5" s="15">
        <f>150000</f>
        <v>150000</v>
      </c>
    </row>
    <row r="6">
      <c r="A6" t="inlineStr" s="7">
        <is>
          <t xml:space="preserve">Output tokens per attempt</t>
        </is>
      </c>
      <c r="B6" s="16">
        <f>20000</f>
        <v>20000</v>
      </c>
    </row>
    <row r="7">
      <c r="A7" t="inlineStr" s="7">
        <is>
          <t xml:space="preserve">Input token price per 1M</t>
        </is>
      </c>
      <c r="B7" s="26">
        <f>3</f>
        <v>3</v>
      </c>
    </row>
    <row r="8">
      <c r="A8" t="inlineStr" s="7">
        <is>
          <t xml:space="preserve">Output token price per 1M</t>
        </is>
      </c>
      <c r="B8" s="26">
        <f>15</f>
        <v>15</v>
      </c>
    </row>
    <row r="9">
      <c r="A9" t="inlineStr" s="7">
        <is>
          <t xml:space="preserve">Average recovery retries per run</t>
        </is>
      </c>
      <c r="B9" s="24">
        <f>0.6</f>
        <v>0.6</v>
      </c>
    </row>
    <row r="10">
      <c r="A10" t="inlineStr" s="7">
        <is>
          <t xml:space="preserve">Retry limit per run</t>
        </is>
      </c>
      <c r="B10" s="16">
        <f>2</f>
        <v>2</v>
      </c>
    </row>
    <row r="11">
      <c r="A11" t="inlineStr" s="7">
        <is>
          <t xml:space="preserve">Retry cost vs first attempt</t>
        </is>
      </c>
      <c r="B11" s="33">
        <f>0.5</f>
        <v>0.5</v>
      </c>
    </row>
    <row r="12">
      <c r="A12" t="inlineStr" s="7">
        <is>
          <t xml:space="preserve">Sandbox minutes per attempt</t>
        </is>
      </c>
      <c r="B12" s="16">
        <f>15</f>
        <v>15</v>
      </c>
    </row>
    <row r="13">
      <c r="A13" t="inlineStr" s="7">
        <is>
          <t xml:space="preserve">Sandbox cost per minute</t>
        </is>
      </c>
      <c r="B13" s="35">
        <f>0.004</f>
        <v>0.004</v>
      </c>
    </row>
    <row r="14">
      <c r="A14" t="inlineStr" s="7">
        <is>
          <t xml:space="preserve">Tracing cost per run neatlogs</t>
        </is>
      </c>
      <c r="B14" s="23">
        <f>0.01</f>
        <v>0.01</v>
      </c>
    </row>
    <row r="15">
      <c r="A15" t="inlineStr" s="7">
        <is>
          <t xml:space="preserve">Context and checkpoint cost per run Entire</t>
        </is>
      </c>
      <c r="B15" s="23">
        <f>0.01</f>
        <v>0.01</v>
      </c>
    </row>
    <row r="16">
      <c r="A16" t="inlineStr" s="7">
        <is>
          <t xml:space="preserve">Storage cost per run</t>
        </is>
      </c>
      <c r="B16" s="23">
        <f>0.005</f>
        <v>0.005</v>
      </c>
    </row>
    <row r="17">
      <c r="A17" t="inlineStr" s="5">
        <is>
          <t xml:space="preserve">Verified success rate</t>
        </is>
      </c>
      <c r="B17" s="29">
        <f>0.6</f>
        <v>0.6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B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Torque Assumptions · Growth &amp; operating assumptions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New customers in launch month</t>
        </is>
      </c>
      <c r="B5" s="10">
        <f>3</f>
        <v>3</v>
      </c>
    </row>
    <row r="6">
      <c r="A6" t="inlineStr" s="7">
        <is>
          <t xml:space="preserve">Monthly growth in new customers</t>
        </is>
      </c>
      <c r="B6" s="33">
        <f>0.25</f>
        <v>0.25</v>
      </c>
    </row>
    <row r="7">
      <c r="A7" t="inlineStr" s="7">
        <is>
          <t xml:space="preserve">Fixed hosting per month</t>
        </is>
      </c>
      <c r="B7" s="18">
        <f>150</f>
        <v>150</v>
      </c>
    </row>
    <row r="8">
      <c r="A8" t="inlineStr" s="7">
        <is>
          <t xml:space="preserve">Software and tools per month</t>
        </is>
      </c>
      <c r="B8" s="18">
        <f>200</f>
        <v>200</v>
      </c>
    </row>
    <row r="9">
      <c r="A9" t="inlineStr" s="7">
        <is>
          <t xml:space="preserve">Marketing per month</t>
        </is>
      </c>
      <c r="B9" s="18">
        <f>500</f>
        <v>500</v>
      </c>
    </row>
    <row r="10">
      <c r="A10" t="inlineStr" s="7">
        <is>
          <t xml:space="preserve">Team expenses per month</t>
        </is>
      </c>
      <c r="B10" s="18">
        <f>0</f>
        <v>0</v>
      </c>
    </row>
    <row r="11">
      <c r="A11" t="inlineStr" s="7">
        <is>
          <t xml:space="preserve">Starting cash</t>
        </is>
      </c>
      <c r="B11" s="18">
        <f>0</f>
        <v>0</v>
      </c>
    </row>
    <row r="12">
      <c r="A12" t="inlineStr" s="7">
        <is>
          <t xml:space="preserve">Target gross margin</t>
        </is>
      </c>
      <c r="B12" s="33">
        <f>0.65</f>
        <v>0.65</v>
      </c>
    </row>
    <row r="13">
      <c r="A13" t="inlineStr" s="7">
        <is>
          <t xml:space="preserve">Payment processing rate</t>
        </is>
      </c>
      <c r="B13" s="21">
        <f>0.029</f>
        <v>0.029</v>
      </c>
    </row>
    <row r="14">
      <c r="A14" t="inlineStr" s="5">
        <is>
          <t xml:space="preserve">Payment fee per charge</t>
        </is>
      </c>
      <c r="B14" s="30">
        <f>0.3</f>
        <v>0.3</v>
      </c>
    </row>
  </sheetData>
  <mergeCells count="1">
    <mergeCell ref="A1:B1"/>
  </mergeCells>
</worksheet>
</file>

<file path=xl/worksheets/sheet8.xml><?xml version="1.0" encoding="utf-8"?>
<worksheet xmlns="http://schemas.openxmlformats.org/spreadsheetml/2006/main">
  <dimension ref="A1:X39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36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  <c r="D5" t="inlineStr" s="4">
        <is>
          <t xml:space="preserve">2026-09</t>
        </is>
      </c>
      <c r="E5" t="inlineStr" s="9">
        <is>
          <t xml:space="preserve">2026-10</t>
        </is>
      </c>
      <c r="F5" t="inlineStr" s="4">
        <is>
          <t xml:space="preserve">2026-11</t>
        </is>
      </c>
      <c r="G5" t="inlineStr" s="4">
        <is>
          <t xml:space="preserve">2026-12</t>
        </is>
      </c>
      <c r="H5" t="inlineStr" s="9">
        <is>
          <t xml:space="preserve">2027-01</t>
        </is>
      </c>
      <c r="I5" t="inlineStr" s="4">
        <is>
          <t xml:space="preserve">2027-02</t>
        </is>
      </c>
      <c r="J5" t="inlineStr" s="4">
        <is>
          <t xml:space="preserve">2027-03</t>
        </is>
      </c>
      <c r="K5" t="inlineStr" s="9">
        <is>
          <t xml:space="preserve">2027-04</t>
        </is>
      </c>
      <c r="L5" t="inlineStr" s="4">
        <is>
          <t xml:space="preserve">2027-05</t>
        </is>
      </c>
      <c r="M5" t="inlineStr" s="4">
        <is>
          <t xml:space="preserve">2027-06</t>
        </is>
      </c>
      <c r="N5" t="inlineStr" s="9">
        <is>
          <t xml:space="preserve">2027-07</t>
        </is>
      </c>
      <c r="O5" t="inlineStr" s="4">
        <is>
          <t xml:space="preserve">2027-08</t>
        </is>
      </c>
      <c r="P5" t="inlineStr" s="4">
        <is>
          <t xml:space="preserve">2027-09</t>
        </is>
      </c>
      <c r="Q5" t="inlineStr" s="9">
        <is>
          <t xml:space="preserve">2026-01</t>
        </is>
      </c>
      <c r="R5" t="inlineStr" s="4">
        <is>
          <t xml:space="preserve">2026-02</t>
        </is>
      </c>
      <c r="S5" t="inlineStr" s="4">
        <is>
          <t xml:space="preserve">2026-03</t>
        </is>
      </c>
      <c r="T5" t="inlineStr" s="9">
        <is>
          <t xml:space="preserve">2026-04</t>
        </is>
      </c>
      <c r="U5" t="inlineStr" s="4">
        <is>
          <t xml:space="preserve">2026-05</t>
        </is>
      </c>
      <c r="V5" t="inlineStr" s="4">
        <is>
          <t xml:space="preserve">2026-06</t>
        </is>
      </c>
      <c r="W5" t="inlineStr" s="9">
        <is>
          <t xml:space="preserve">2026-07</t>
        </is>
      </c>
      <c r="X5" t="inlineStr" s="4">
        <is>
          <t xml:space="preserve">2026-08</t>
        </is>
      </c>
    </row>
    <row r="6">
      <c r="A6" t="inlineStr" s="37">
        <is>
          <t xml:space="preserve">Blended full allowance runs per customer</t>
        </is>
      </c>
      <c r="B6" s="8">
        <f>SUM('Model inputs'!C48,'Model inputs'!C49,'Model inputs'!C50)</f>
        <v>72.05</v>
      </c>
    </row>
    <row r="7">
      <c r="A7" t="inlineStr" s="37">
        <is>
          <t xml:space="preserve">Blended revenue per customer · Unit Economics &amp; Sensitivity · Unit economics per issue run</t>
        </is>
      </c>
      <c r="C7" s="8">
        <f>SUM('Model inputs'!C52,'Model inputs'!C53,'Model inputs'!C54)</f>
        <v>116.48749999999998</v>
      </c>
    </row>
    <row r="8">
      <c r="A8" t="inlineStr" s="37">
        <is>
          <t xml:space="preserve">Blended revenue per customer · Unit Economics &amp; Sensitivity · Sensitivity: cost and margin stress tests</t>
        </is>
      </c>
      <c r="B8" s="8">
        <f>SUM('Model inputs'!C52,'Model inputs'!C53,'Model inputs'!C54)</f>
        <v>116.48749999999998</v>
      </c>
    </row>
    <row r="9">
      <c r="A9" t="inlineStr" s="37">
        <is>
          <t xml:space="preserve">Blended runs per customer · Unit Economics &amp; Sensitivity · Unit economics per issue run</t>
        </is>
      </c>
      <c r="C9" s="8">
        <f>SUM('Model inputs'!C44,'Model inputs'!C45,'Model inputs'!C46)</f>
        <v>46.025</v>
      </c>
    </row>
    <row r="10">
      <c r="A10" t="inlineStr" s="37">
        <is>
          <t xml:space="preserve">Blended runs per customer · Unit Economics &amp; Sensitivity · Sensitivity: cost and margin stress tests</t>
        </is>
      </c>
      <c r="B10" s="8">
        <f>SUM('Model inputs'!C44,'Model inputs'!C45,'Model inputs'!C46)</f>
        <v>46.025</v>
      </c>
    </row>
    <row r="11">
      <c r="A11" t="inlineStr" s="37">
        <is>
          <t xml:space="preserve">Cash balance after credits</t>
        </is>
      </c>
      <c r="D11" s="8">
        <f>IF('Torque Assumptions · Growth &amp; o'!B11="","",'Torque Assumptions · Growth &amp; o'!B11)</f>
        <v>0</v>
      </c>
      <c r="E11" s="8">
        <f>'Model inputs'!D11+'Model inputs'!E56</f>
        <v>-615.4167625</v>
      </c>
      <c r="F11" s="8">
        <f>'Model inputs'!E11+'Model inputs'!F56</f>
        <v>-1047.05982275</v>
      </c>
      <c r="G11" s="8">
        <f>'Model inputs'!F11+'Model inputs'!G56</f>
        <v>-1200.5315266612502</v>
      </c>
      <c r="H11" s="8">
        <f>'Model inputs'!G11+'Model inputs'!H56</f>
        <v>-1013.6986929417251</v>
      </c>
      <c r="I11" s="8">
        <f>'Model inputs'!H11+'Model inputs'!I56</f>
        <v>-408.53068823678245</v>
      </c>
      <c r="J11" s="8">
        <f>'Model inputs'!I11+'Model inputs'!J56</f>
        <v>712.8543772501478</v>
      </c>
      <c r="K11" s="8">
        <f>'Model inputs'!J11+'Model inputs'!K56</f>
        <v>2473.133206934209</v>
      </c>
      <c r="L11" s="8">
        <f>'Model inputs'!K11+'Model inputs'!L56</f>
        <v>5025.957976464448</v>
      </c>
      <c r="M11" s="8">
        <f>'Model inputs'!L11+'Model inputs'!M56</f>
        <v>8563.683286092386</v>
      </c>
      <c r="N11" s="8">
        <f>'Model inputs'!M11+'Model inputs'!N56</f>
        <v>13327.025903209123</v>
      </c>
      <c r="O11" s="8">
        <f>'Model inputs'!N11+'Model inputs'!O56</f>
        <v>19617.140421139284</v>
      </c>
      <c r="P11" s="8">
        <f>'Model inputs'!O11+'Model inputs'!P56</f>
        <v>27810.714746953254</v>
      </c>
    </row>
    <row r="12">
      <c r="A12" t="inlineStr" s="37">
        <is>
          <t xml:space="preserve">Cash balance before credits</t>
        </is>
      </c>
      <c r="D12" s="8">
        <f>IF('Torque Assumptions · Growth &amp; o'!B11="","",'Torque Assumptions · Growth &amp; o'!B11)</f>
        <v>0</v>
      </c>
      <c r="E12" s="8">
        <f>'Model inputs'!D12+'Model inputs'!E57</f>
        <v>-660.4167625</v>
      </c>
      <c r="F12" s="8">
        <f>'Model inputs'!E12+'Model inputs'!F57</f>
        <v>-1092.05982275</v>
      </c>
      <c r="G12" s="8">
        <f>'Model inputs'!F12+'Model inputs'!G57</f>
        <v>-1245.5315266612502</v>
      </c>
      <c r="H12" s="8">
        <f>'Model inputs'!G12+'Model inputs'!H57</f>
        <v>-1058.698692941725</v>
      </c>
      <c r="I12" s="8">
        <f>'Model inputs'!H12+'Model inputs'!I57</f>
        <v>-453.53068823678245</v>
      </c>
      <c r="J12" s="8">
        <f>'Model inputs'!I12+'Model inputs'!J57</f>
        <v>667.8543772501478</v>
      </c>
      <c r="K12" s="8">
        <f>'Model inputs'!J12+'Model inputs'!K57</f>
        <v>2428.133206934209</v>
      </c>
      <c r="L12" s="8">
        <f>'Model inputs'!K12+'Model inputs'!L57</f>
        <v>4980.957976464448</v>
      </c>
      <c r="M12" s="8">
        <f>'Model inputs'!L12+'Model inputs'!M57</f>
        <v>8518.683286092386</v>
      </c>
      <c r="N12" s="8">
        <f>'Model inputs'!M12+'Model inputs'!N57</f>
        <v>13282.025903209123</v>
      </c>
      <c r="O12" s="8">
        <f>'Model inputs'!N12+'Model inputs'!O57</f>
        <v>19572.140421139284</v>
      </c>
      <c r="P12" s="8">
        <f>'Model inputs'!O12+'Model inputs'!P57</f>
        <v>27765.714746953254</v>
      </c>
    </row>
    <row r="13">
      <c r="A13" t="inlineStr" s="37">
        <is>
          <t xml:space="preserve">Cost of revenue</t>
        </is>
      </c>
      <c r="D13" s="8">
        <v>0</v>
      </c>
      <c r="E13" s="8">
        <f>'Model inputs'!E37+'Model inputs'!E91+'Model inputs'!E60+'Model inputs'!E97+'Model inputs'!E22+'Model inputs'!E88</f>
        <v>309.8792625</v>
      </c>
      <c r="F13" s="8">
        <f>'Model inputs'!F37+'Model inputs'!F91+'Model inputs'!F60+'Model inputs'!F97+'Model inputs'!F22+'Model inputs'!F88</f>
        <v>502.96031025</v>
      </c>
      <c r="G13" s="8">
        <f>'Model inputs'!G37+'Model inputs'!G91+'Model inputs'!G60+'Model inputs'!G97+'Model inputs'!G22+'Model inputs'!G88</f>
        <v>737.8757551612501</v>
      </c>
      <c r="H13" s="8">
        <f>'Model inputs'!H37+'Model inputs'!H91+'Model inputs'!H60+'Model inputs'!H97+'Model inputs'!H22+'Model inputs'!H88</f>
        <v>1025.397497555475</v>
      </c>
      <c r="I13" s="8">
        <f>'Model inputs'!I37+'Model inputs'!I91+'Model inputs'!I60+'Model inputs'!I97+'Model inputs'!I22+'Model inputs'!I88</f>
        <v>1378.9727546536824</v>
      </c>
      <c r="J13" s="8">
        <f>'Model inputs'!J37+'Model inputs'!J91+'Model inputs'!J60+'Model inputs'!J97+'Model inputs'!J22+'Model inputs'!J88</f>
        <v>1815.3940123355924</v>
      </c>
      <c r="K13" s="8">
        <f>'Model inputs'!K37+'Model inputs'!K91+'Model inputs'!K60+'Model inputs'!K97+'Model inputs'!K22+'Model inputs'!K88</f>
        <v>2355.636387136893</v>
      </c>
      <c r="L13" s="8">
        <f>'Model inputs'!L37+'Model inputs'!L91+'Model inputs'!L60+'Model inputs'!L97+'Model inputs'!L22+'Model inputs'!L88</f>
        <v>3025.904256727066</v>
      </c>
      <c r="M13" s="8">
        <f>'Model inputs'!M37+'Model inputs'!M91+'Model inputs'!M60+'Model inputs'!M97+'Model inputs'!M22+'Model inputs'!M88</f>
        <v>3858.9394812410164</v>
      </c>
      <c r="N13" s="8">
        <f>'Model inputs'!N37+'Model inputs'!N91+'Model inputs'!N60+'Model inputs'!N97+'Model inputs'!N22+'Model inputs'!N88</f>
        <v>4895.656618034143</v>
      </c>
      <c r="O13" s="8">
        <f>'Model inputs'!O37+'Model inputs'!O91+'Model inputs'!O60+'Model inputs'!O97+'Model inputs'!O22+'Model inputs'!O88</f>
        <v>6187.186882706585</v>
      </c>
      <c r="P13" s="8">
        <f>'Model inputs'!P37+'Model inputs'!P91+'Model inputs'!P60+'Model inputs'!P97+'Model inputs'!P22+'Model inputs'!P88</f>
        <v>7797.433047115831</v>
      </c>
    </row>
    <row r="14">
      <c r="A14" t="inlineStr" s="37">
        <is>
          <t xml:space="preserve">Fixed monthly costs · Unit Economics &amp; Sensitivity · Unit economics per issue run</t>
        </is>
      </c>
      <c r="C14" s="8">
        <f>'Model inputs'!B132+'Model inputs'!B156+'Model inputs'!B140+'Model inputs'!B160</f>
        <v>850</v>
      </c>
    </row>
    <row r="15">
      <c r="A15" t="inlineStr" s="37">
        <is>
          <t xml:space="preserve">Fixed monthly costs · Unit Economics &amp; Sensitivity · Sensitivity: cost and margin stress tests</t>
        </is>
      </c>
      <c r="B15" s="8">
        <f>'Model inputs'!B132+'Model inputs'!B156+'Model inputs'!B140+'Model inputs'!B160</f>
        <v>850</v>
      </c>
    </row>
    <row r="16">
      <c r="A16" t="inlineStr" s="37">
        <is>
          <t xml:space="preserve">Gross profit after credits</t>
        </is>
      </c>
      <c r="D16" s="8">
        <v>0</v>
      </c>
      <c r="E16" s="8">
        <f>'Model inputs'!E17+'Model inputs'!E20</f>
        <v>84.5832375</v>
      </c>
      <c r="F16" s="8">
        <f>'Model inputs'!F17+'Model inputs'!F20</f>
        <v>268.3569397499999</v>
      </c>
      <c r="G16" s="8">
        <f>'Model inputs'!G17+'Model inputs'!G20</f>
        <v>546.5282960887497</v>
      </c>
      <c r="H16" s="8">
        <f>'Model inputs'!H17+'Model inputs'!H20</f>
        <v>886.8328337195251</v>
      </c>
      <c r="I16" s="8">
        <f>'Model inputs'!I17+'Model inputs'!I20</f>
        <v>1305.1680047049426</v>
      </c>
      <c r="J16" s="8">
        <f>'Model inputs'!J17+'Model inputs'!J20</f>
        <v>1821.3850654869302</v>
      </c>
      <c r="K16" s="8">
        <f>'Model inputs'!K17+'Model inputs'!K20</f>
        <v>2460.278829684061</v>
      </c>
      <c r="L16" s="8">
        <f>'Model inputs'!L17+'Model inputs'!L20</f>
        <v>3252.8247695302384</v>
      </c>
      <c r="M16" s="8">
        <f>'Model inputs'!M17+'Model inputs'!M20</f>
        <v>4237.725309627937</v>
      </c>
      <c r="N16" s="8">
        <f>'Model inputs'!N17+'Model inputs'!N20</f>
        <v>5463.3426171167375</v>
      </c>
      <c r="O16" s="8">
        <f>'Model inputs'!O17+'Model inputs'!O20</f>
        <v>6990.11451793016</v>
      </c>
      <c r="P16" s="8">
        <f>'Model inputs'!P17+'Model inputs'!P20</f>
        <v>8893.57432581397</v>
      </c>
    </row>
    <row r="17">
      <c r="A17" t="inlineStr" s="37">
        <is>
          <t xml:space="preserve">Gross profit before credits · Torque Plan Summary · Scenario comparison: month 12 (Sep 2027) · Main Scenario</t>
        </is>
      </c>
      <c r="D17" s="8">
        <v>0</v>
      </c>
      <c r="E17" s="8">
        <f>'Model inputs'!E121-'Model inputs'!E13</f>
        <v>39.583237499999996</v>
      </c>
      <c r="F17" s="8">
        <f>'Model inputs'!F121-'Model inputs'!F13</f>
        <v>268.3569397499999</v>
      </c>
      <c r="G17" s="8">
        <f>'Model inputs'!G121-'Model inputs'!G13</f>
        <v>546.5282960887497</v>
      </c>
      <c r="H17" s="8">
        <f>'Model inputs'!H121-'Model inputs'!H13</f>
        <v>886.8328337195251</v>
      </c>
      <c r="I17" s="8">
        <f>'Model inputs'!I121-'Model inputs'!I13</f>
        <v>1305.1680047049426</v>
      </c>
      <c r="J17" s="8">
        <f>'Model inputs'!J121-'Model inputs'!J13</f>
        <v>1821.3850654869302</v>
      </c>
      <c r="K17" s="8">
        <f>'Model inputs'!K121-'Model inputs'!K13</f>
        <v>2460.278829684061</v>
      </c>
      <c r="L17" s="8">
        <f>'Model inputs'!L121-'Model inputs'!L13</f>
        <v>3252.8247695302384</v>
      </c>
      <c r="M17" s="8">
        <f>'Model inputs'!M121-'Model inputs'!M13</f>
        <v>4237.725309627937</v>
      </c>
      <c r="N17" s="8">
        <f>'Model inputs'!N121-'Model inputs'!N13</f>
        <v>5463.3426171167375</v>
      </c>
      <c r="O17" s="8">
        <f>'Model inputs'!O121-'Model inputs'!O13</f>
        <v>6990.11451793016</v>
      </c>
      <c r="P17" s="8">
        <f>'Model inputs'!P121-'Model inputs'!P13</f>
        <v>8893.57432581397</v>
      </c>
    </row>
    <row r="18">
      <c r="A18" t="inlineStr" s="37">
        <is>
          <t xml:space="preserve">Gross profit before credits · Optimistic</t>
        </is>
      </c>
      <c r="P18" s="8">
        <f>'Torque Plan Summary · Scenario'!D7-'Torque Plan Summary · Scenario'!D8</f>
        <v>30263.980188222937</v>
      </c>
    </row>
    <row r="19">
      <c r="A19" t="inlineStr" s="37">
        <is>
          <t xml:space="preserve">Gross profit before credits · Conservative</t>
        </is>
      </c>
      <c r="P19" s="8">
        <f>'Torque Plan Summary · Scenario'!C7-'Torque Plan Summary · Scenario'!C8</f>
        <v>946.1692371313643</v>
      </c>
    </row>
    <row r="20">
      <c r="A20" t="inlineStr" s="37">
        <is>
          <t xml:space="preserve">Hackathon credits applied</t>
        </is>
      </c>
      <c r="D20" s="8">
        <v>0</v>
      </c>
      <c r="E20" s="8">
        <f>MIN('Model inputs'!E21,'Model inputs'!E37+'Model inputs'!E91)</f>
        <v>45</v>
      </c>
      <c r="F20" s="8">
        <f>MIN('Model inputs'!F21,'Model inputs'!F37+'Model inputs'!F91)</f>
        <v>0</v>
      </c>
      <c r="G20" s="8">
        <f>MIN('Model inputs'!G21,'Model inputs'!G37+'Model inputs'!G91)</f>
        <v>0</v>
      </c>
      <c r="H20" s="8">
        <f>MIN('Model inputs'!H21,'Model inputs'!H37+'Model inputs'!H91)</f>
        <v>0</v>
      </c>
      <c r="I20" s="8">
        <f>MIN('Model inputs'!I21,'Model inputs'!I37+'Model inputs'!I91)</f>
        <v>0</v>
      </c>
      <c r="J20" s="8">
        <f>MIN('Model inputs'!J21,'Model inputs'!J37+'Model inputs'!J91)</f>
        <v>0</v>
      </c>
      <c r="K20" s="8">
        <f>MIN('Model inputs'!K21,'Model inputs'!K37+'Model inputs'!K91)</f>
        <v>0</v>
      </c>
      <c r="L20" s="8">
        <f>MIN('Model inputs'!L21,'Model inputs'!L37+'Model inputs'!L91)</f>
        <v>0</v>
      </c>
      <c r="M20" s="8">
        <f>MIN('Model inputs'!M21,'Model inputs'!M37+'Model inputs'!M91)</f>
        <v>0</v>
      </c>
      <c r="N20" s="8">
        <f>MIN('Model inputs'!N21,'Model inputs'!N37+'Model inputs'!N91)</f>
        <v>0</v>
      </c>
      <c r="O20" s="8">
        <f>MIN('Model inputs'!O21,'Model inputs'!O37+'Model inputs'!O91)</f>
        <v>0</v>
      </c>
      <c r="P20" s="8">
        <f>MIN('Model inputs'!P21,'Model inputs'!P37+'Model inputs'!P91)</f>
        <v>0</v>
      </c>
    </row>
    <row r="21">
      <c r="A21" t="inlineStr" s="37">
        <is>
          <t xml:space="preserve">Hackathon credits available</t>
        </is>
      </c>
      <c r="D21" s="8">
        <v>0</v>
      </c>
      <c r="E21" s="8">
        <f>'Monthly Financial Plan · Torque'!B37</f>
        <v>45</v>
      </c>
      <c r="F21" s="8">
        <f>'Monthly Financial Plan · Torque'!C37</f>
        <v>0</v>
      </c>
      <c r="G21" s="8">
        <f>'Monthly Financial Plan · Torque'!D37</f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</row>
    <row r="22">
      <c r="A22" t="inlineStr" s="37">
        <is>
          <t xml:space="preserve">Hosting cost · Torque Plan Summary · Scenario comparison: month 12 (Sep 2027) · Main Scenario</t>
        </is>
      </c>
      <c r="D22" s="8">
        <v>0</v>
      </c>
      <c r="E22" s="8">
        <f>IF('Model inputs'!B132="","",'Model inputs'!B132)</f>
        <v>150</v>
      </c>
      <c r="F22" s="8">
        <f>IF('Model inputs'!B132="","",'Model inputs'!B132)</f>
        <v>150</v>
      </c>
      <c r="G22" s="8">
        <f>IF('Model inputs'!B132="","",'Model inputs'!B132)</f>
        <v>150</v>
      </c>
      <c r="H22" s="8">
        <f>IF('Model inputs'!B132="","",'Model inputs'!B132)</f>
        <v>150</v>
      </c>
      <c r="I22" s="8">
        <f>IF('Model inputs'!B132="","",'Model inputs'!B132)</f>
        <v>150</v>
      </c>
      <c r="J22" s="8">
        <f>IF('Model inputs'!B132="","",'Model inputs'!B132)</f>
        <v>150</v>
      </c>
      <c r="K22" s="8">
        <f>IF('Model inputs'!B132="","",'Model inputs'!B132)</f>
        <v>150</v>
      </c>
      <c r="L22" s="8">
        <f>IF('Model inputs'!B132="","",'Model inputs'!B132)</f>
        <v>150</v>
      </c>
      <c r="M22" s="8">
        <f>IF('Model inputs'!B132="","",'Model inputs'!B132)</f>
        <v>150</v>
      </c>
      <c r="N22" s="8">
        <f>IF('Model inputs'!B132="","",'Model inputs'!B132)</f>
        <v>150</v>
      </c>
      <c r="O22" s="8">
        <f>IF('Model inputs'!B132="","",'Model inputs'!B132)</f>
        <v>150</v>
      </c>
      <c r="P22" s="8">
        <f>IF('Model inputs'!B132="","",'Model inputs'!B132)</f>
        <v>150</v>
      </c>
    </row>
    <row r="23">
      <c r="A23" t="inlineStr" s="37">
        <is>
          <t xml:space="preserve">Hosting cost · Optimistic</t>
        </is>
      </c>
      <c r="P23" s="8">
        <f>IF('Model inputs'!B219="","",'Model inputs'!B219)</f>
        <v>150</v>
      </c>
    </row>
    <row r="24">
      <c r="A24" t="inlineStr" s="37">
        <is>
          <t xml:space="preserve">Hosting cost · Conservative</t>
        </is>
      </c>
      <c r="P24" s="8">
        <f>IF('Model inputs'!B220="","",'Model inputs'!B220)</f>
        <v>150</v>
      </c>
    </row>
    <row r="25">
      <c r="A25" t="inlineStr" s="37">
        <is>
          <t xml:space="preserve">Issue runs</t>
        </is>
      </c>
      <c r="D25" s="6">
        <f>SUM('Model inputs'!D26,'Model inputs'!D27,'Model inputs'!D28)</f>
        <v>0</v>
      </c>
      <c r="E25" s="6">
        <f>SUM('Model inputs'!E26,'Model inputs'!E27,'Model inputs'!E28)</f>
        <v>138.075</v>
      </c>
      <c r="F25" s="6">
        <f>SUM('Model inputs'!F26,'Model inputs'!F27,'Model inputs'!F28)</f>
        <v>304.84499999999997</v>
      </c>
      <c r="G25" s="6">
        <f>SUM('Model inputs'!G26,'Model inputs'!G27,'Model inputs'!G28)</f>
        <v>507.7684125</v>
      </c>
      <c r="H25" s="6">
        <f>SUM('Model inputs'!H26,'Model inputs'!H27,'Model inputs'!H28)</f>
        <v>756.1521457499999</v>
      </c>
      <c r="I25" s="6">
        <f>SUM('Model inputs'!I26,'Model inputs'!I27,'Model inputs'!I28)</f>
        <v>1061.6147548837498</v>
      </c>
      <c r="J25" s="6">
        <f>SUM('Model inputs'!J26,'Model inputs'!J27,'Model inputs'!J28)</f>
        <v>1438.6653095733</v>
      </c>
      <c r="K25" s="6">
        <f>SUM('Model inputs'!K26,'Model inputs'!K27,'Model inputs'!K28)</f>
        <v>1905.4269125546066</v>
      </c>
      <c r="L25" s="6">
        <f>SUM('Model inputs'!L26,'Model inputs'!L27,'Model inputs'!L28)</f>
        <v>2484.5410365665193</v>
      </c>
      <c r="M25" s="6">
        <f>SUM('Model inputs'!M26,'Model inputs'!M27,'Model inputs'!M28)</f>
        <v>3204.297888766145</v>
      </c>
      <c r="N25" s="6">
        <f>SUM('Model inputs'!N26,'Model inputs'!N27,'Model inputs'!N28)</f>
        <v>4100.0493136126315</v>
      </c>
      <c r="O25" s="6">
        <f>SUM('Model inputs'!O26,'Model inputs'!O27,'Model inputs'!O28)</f>
        <v>5215.97487264869</v>
      </c>
      <c r="P25" s="6">
        <f>SUM('Model inputs'!P26,'Model inputs'!P27,'Model inputs'!P28)</f>
        <v>6607.289398929774</v>
      </c>
    </row>
    <row r="26" outlineLevel="1">
      <c r="A26" t="inlineStr" s="38">
        <is>
          <t xml:space="preserve">Issue runs &gt; Maintainer</t>
        </is>
      </c>
      <c r="D26" s="8">
        <f>0</f>
        <v>0</v>
      </c>
      <c r="E26" s="8">
        <f>'Model inputs'!E77*'Model inputs'!B129</f>
        <v>17.25</v>
      </c>
      <c r="F26" s="8">
        <f>'Model inputs'!F77*'Model inputs'!B129</f>
        <v>37.4325</v>
      </c>
      <c r="G26" s="8">
        <f>'Model inputs'!G77*'Model inputs'!B129</f>
        <v>61.391025</v>
      </c>
      <c r="H26" s="8">
        <f>'Model inputs'!H77*'Model inputs'!B129</f>
        <v>90.17114925</v>
      </c>
      <c r="I26" s="8">
        <f>'Model inputs'!I77*'Model inputs'!B129</f>
        <v>125.07171512250001</v>
      </c>
      <c r="J26" s="8">
        <f>'Model inputs'!J77*'Model inputs'!B129</f>
        <v>167.70880017832502</v>
      </c>
      <c r="K26" s="8">
        <f>'Model inputs'!K77*'Model inputs'!B129</f>
        <v>220.0956239960903</v>
      </c>
      <c r="L26" s="8">
        <f>'Model inputs'!L77*'Model inputs'!B129</f>
        <v>284.74238386644214</v>
      </c>
      <c r="M26" s="8">
        <f>'Model inputs'!M77*'Model inputs'!B129</f>
        <v>364.7810053946756</v>
      </c>
      <c r="N26" s="8">
        <f>'Model inputs'!N77*'Model inputs'!B129</f>
        <v>464.1210402600376</v>
      </c>
      <c r="O26" s="8">
        <f>'Model inputs'!O77*'Model inputs'!B129</f>
        <v>587.6445011604046</v>
      </c>
      <c r="P26" s="8">
        <f>'Model inputs'!P77*'Model inputs'!B129</f>
        <v>741.4493712190349</v>
      </c>
    </row>
    <row r="27" outlineLevel="1">
      <c r="A27" t="inlineStr" s="38">
        <is>
          <t xml:space="preserve">Issue runs &gt; Starter</t>
        </is>
      </c>
      <c r="D27" s="8">
        <f>0</f>
        <v>0</v>
      </c>
      <c r="E27" s="8">
        <f>'Model inputs'!E78*'Model inputs'!B130</f>
        <v>40.949999999999996</v>
      </c>
      <c r="F27" s="8">
        <f>'Model inputs'!F78*'Model inputs'!B130</f>
        <v>90.08999999999999</v>
      </c>
      <c r="G27" s="8">
        <f>'Model inputs'!G78*'Model inputs'!B130</f>
        <v>149.569875</v>
      </c>
      <c r="H27" s="8">
        <f>'Model inputs'!H78*'Model inputs'!B130</f>
        <v>222.07184999999998</v>
      </c>
      <c r="I27" s="8">
        <f>'Model inputs'!I78*'Model inputs'!B130</f>
        <v>310.94384343749994</v>
      </c>
      <c r="J27" s="8">
        <f>'Model inputs'!J78*'Model inputs'!B130</f>
        <v>420.3661336875</v>
      </c>
      <c r="K27" s="8">
        <f>'Model inputs'!K78*'Model inputs'!B130</f>
        <v>555.5596800304687</v>
      </c>
      <c r="L27" s="8">
        <f>'Model inputs'!L78*'Model inputs'!B130</f>
        <v>723.0465123131249</v>
      </c>
      <c r="M27" s="8">
        <f>'Model inputs'!M78*'Model inputs'!B130</f>
        <v>930.9752070526933</v>
      </c>
      <c r="N27" s="8">
        <f>'Model inputs'!N78*'Model inputs'!B130</f>
        <v>1189.5277221440895</v>
      </c>
      <c r="O27" s="8">
        <f>'Model inputs'!O78*'Model inputs'!B130</f>
        <v>1511.4279303419232</v>
      </c>
      <c r="P27" s="8">
        <f>'Model inputs'!P78*'Model inputs'!B130</f>
        <v>1912.577276706125</v>
      </c>
    </row>
    <row r="28" outlineLevel="1">
      <c r="A28" t="inlineStr" s="38">
        <is>
          <t xml:space="preserve">Issue runs &gt; Team</t>
        </is>
      </c>
      <c r="D28" s="8">
        <f>0</f>
        <v>0</v>
      </c>
      <c r="E28" s="8">
        <f>'Model inputs'!E79*'Model inputs'!B131</f>
        <v>79.87499999999999</v>
      </c>
      <c r="F28" s="8">
        <f>'Model inputs'!F79*'Model inputs'!B131</f>
        <v>177.3225</v>
      </c>
      <c r="G28" s="8">
        <f>'Model inputs'!G79*'Model inputs'!B131</f>
        <v>296.8075125</v>
      </c>
      <c r="H28" s="8">
        <f>'Model inputs'!H79*'Model inputs'!B131</f>
        <v>443.90914649999996</v>
      </c>
      <c r="I28" s="8">
        <f>'Model inputs'!I79*'Model inputs'!B131</f>
        <v>625.59919632375</v>
      </c>
      <c r="J28" s="8">
        <f>'Model inputs'!J79*'Model inputs'!B131</f>
        <v>850.590375707475</v>
      </c>
      <c r="K28" s="8">
        <f>'Model inputs'!K79*'Model inputs'!B131</f>
        <v>1129.7716085280476</v>
      </c>
      <c r="L28" s="8">
        <f>'Model inputs'!L79*'Model inputs'!B131</f>
        <v>1476.752140386952</v>
      </c>
      <c r="M28" s="8">
        <f>'Model inputs'!M79*'Model inputs'!B131</f>
        <v>1908.5416763187761</v>
      </c>
      <c r="N28" s="8">
        <f>'Model inputs'!N79*'Model inputs'!B131</f>
        <v>2446.4005512085037</v>
      </c>
      <c r="O28" s="8">
        <f>'Model inputs'!O79*'Model inputs'!B131</f>
        <v>3116.902441146362</v>
      </c>
      <c r="P28" s="8">
        <f>'Model inputs'!P79*'Model inputs'!B131</f>
        <v>3953.262751004613</v>
      </c>
    </row>
    <row r="29">
      <c r="A29" t="inlineStr" s="37">
        <is>
          <t xml:space="preserve">Issue runs</t>
        </is>
      </c>
      <c r="P29" s="6">
        <f>SUM('Model inputs'!P30,'Model inputs'!P31,'Model inputs'!P32)</f>
        <v>15314.437863658524</v>
      </c>
    </row>
    <row r="30" outlineLevel="1">
      <c r="A30" t="inlineStr" s="38">
        <is>
          <t xml:space="preserve">Issue runs &gt; Maintainer</t>
        </is>
      </c>
      <c r="P30" s="8">
        <f>'Model inputs'!P81*'Model inputs'!B212</f>
        <v>1719.1638963554506</v>
      </c>
    </row>
    <row r="31" outlineLevel="1">
      <c r="A31" t="inlineStr" s="38">
        <is>
          <t xml:space="preserve">Issue runs &gt; Starter</t>
        </is>
      </c>
      <c r="P31" s="8">
        <f>'Model inputs'!P82*'Model inputs'!B213</f>
        <v>4446.005317126054</v>
      </c>
    </row>
    <row r="32" outlineLevel="1">
      <c r="A32" t="inlineStr" s="38">
        <is>
          <t xml:space="preserve">Issue runs &gt; Team</t>
        </is>
      </c>
      <c r="P32" s="8">
        <f>'Model inputs'!P83*'Model inputs'!B214</f>
        <v>9149.26865017702</v>
      </c>
    </row>
    <row r="33">
      <c r="A33" t="inlineStr" s="37">
        <is>
          <t xml:space="preserve">Issue runs</t>
        </is>
      </c>
      <c r="P33" s="6">
        <f>SUM('Model inputs'!P34,'Model inputs'!P35,'Model inputs'!P36)</f>
        <v>1930.382165492375</v>
      </c>
    </row>
    <row r="34" outlineLevel="1">
      <c r="A34" t="inlineStr" s="38">
        <is>
          <t xml:space="preserve">Issue runs &gt; Maintainer</t>
        </is>
      </c>
      <c r="P34" s="8">
        <f>'Model inputs'!P85*'Model inputs'!B216</f>
        <v>221.0721492211289</v>
      </c>
    </row>
    <row r="35" outlineLevel="1">
      <c r="A35" t="inlineStr" s="38">
        <is>
          <t xml:space="preserve">Issue runs &gt; Starter</t>
        </is>
      </c>
      <c r="P35" s="8">
        <f>'Model inputs'!P86*'Model inputs'!B217</f>
        <v>545.9178682131932</v>
      </c>
    </row>
    <row r="36" outlineLevel="1">
      <c r="A36" t="inlineStr" s="38">
        <is>
          <t xml:space="preserve">Issue runs &gt; Team</t>
        </is>
      </c>
      <c r="P36" s="8">
        <f>'Model inputs'!P87*'Model inputs'!B218</f>
        <v>1163.3921480580527</v>
      </c>
    </row>
    <row r="37">
      <c r="A37" t="inlineStr" s="37">
        <is>
          <t xml:space="preserve">LLM token cost · Torque Plan Summary · Scenario comparison: month 12 (Sep 2027) · Main Scenario</t>
        </is>
      </c>
      <c r="D37" s="8">
        <v>0</v>
      </c>
      <c r="E37" s="8">
        <f>SUM('Model inputs'!E26,'Model inputs'!E27,'Model inputs'!E28)*'Model inputs'!B138</f>
        <v>134.623125</v>
      </c>
      <c r="F37" s="8">
        <f>SUM('Model inputs'!F26,'Model inputs'!F27,'Model inputs'!F28)*'Model inputs'!B138</f>
        <v>297.223875</v>
      </c>
      <c r="G37" s="8">
        <f>SUM('Model inputs'!G26,'Model inputs'!G27,'Model inputs'!G28)*'Model inputs'!B138</f>
        <v>495.0742021875001</v>
      </c>
      <c r="H37" s="8">
        <f>SUM('Model inputs'!H26,'Model inputs'!H27,'Model inputs'!H28)*'Model inputs'!B138</f>
        <v>737.24834210625</v>
      </c>
      <c r="I37" s="8">
        <f>SUM('Model inputs'!I26,'Model inputs'!I27,'Model inputs'!I28)*'Model inputs'!B138</f>
        <v>1035.074386011656</v>
      </c>
      <c r="J37" s="8">
        <f>SUM('Model inputs'!J26,'Model inputs'!J27,'Model inputs'!J28)*'Model inputs'!B138</f>
        <v>1402.6986768339675</v>
      </c>
      <c r="K37" s="8">
        <f>SUM('Model inputs'!K26,'Model inputs'!K27,'Model inputs'!K28)*'Model inputs'!B138</f>
        <v>1857.7912397407415</v>
      </c>
      <c r="L37" s="8">
        <f>SUM('Model inputs'!L26,'Model inputs'!L27,'Model inputs'!L28)*'Model inputs'!B138</f>
        <v>2422.4275106523564</v>
      </c>
      <c r="M37" s="8">
        <f>SUM('Model inputs'!M26,'Model inputs'!M27,'Model inputs'!M28)*'Model inputs'!B138</f>
        <v>3124.1904415469917</v>
      </c>
      <c r="N37" s="8">
        <f>SUM('Model inputs'!N26,'Model inputs'!N27,'Model inputs'!N28)*'Model inputs'!B138</f>
        <v>3997.548080772316</v>
      </c>
      <c r="O37" s="8">
        <f>SUM('Model inputs'!O26,'Model inputs'!O27,'Model inputs'!O28)*'Model inputs'!B138</f>
        <v>5085.575500832473</v>
      </c>
      <c r="P37" s="8">
        <f>SUM('Model inputs'!P26,'Model inputs'!P27,'Model inputs'!P28)*'Model inputs'!B138</f>
        <v>6442.10716395653</v>
      </c>
    </row>
    <row r="38">
      <c r="A38" t="inlineStr" s="37">
        <is>
          <t xml:space="preserve">LLM token cost · Optimistic</t>
        </is>
      </c>
      <c r="P38" s="8">
        <f>SUM('Model inputs'!P30,'Model inputs'!P31,'Model inputs'!P32)*'Model inputs'!B221</f>
        <v>12129.034788017552</v>
      </c>
    </row>
    <row r="39">
      <c r="A39" t="inlineStr" s="37">
        <is>
          <t xml:space="preserve">LLM token cost · Conservative</t>
        </is>
      </c>
      <c r="P39" s="8">
        <f>SUM('Model inputs'!P34,'Model inputs'!P35,'Model inputs'!P36)*'Model inputs'!B222</f>
        <v>2519.148725967549</v>
      </c>
    </row>
    <row r="40">
      <c r="A40" t="inlineStr" s="37">
        <is>
          <t xml:space="preserve">Marketing · Torque Plan Summary · Scenario comparison: month 12 (Sep 2027) · Main Scenario</t>
        </is>
      </c>
      <c r="D40" s="8">
        <v>0</v>
      </c>
      <c r="E40" s="8">
        <f>IF('Model inputs'!B140="","",'Model inputs'!B140)</f>
        <v>500</v>
      </c>
      <c r="F40" s="8">
        <f>IF('Model inputs'!B140="","",'Model inputs'!B140)</f>
        <v>500</v>
      </c>
      <c r="G40" s="8">
        <f>IF('Model inputs'!B140="","",'Model inputs'!B140)</f>
        <v>500</v>
      </c>
      <c r="H40" s="8">
        <f>IF('Model inputs'!B140="","",'Model inputs'!B140)</f>
        <v>500</v>
      </c>
      <c r="I40" s="8">
        <f>IF('Model inputs'!B140="","",'Model inputs'!B140)</f>
        <v>500</v>
      </c>
      <c r="J40" s="8">
        <f>IF('Model inputs'!B140="","",'Model inputs'!B140)</f>
        <v>500</v>
      </c>
      <c r="K40" s="8">
        <f>IF('Model inputs'!B140="","",'Model inputs'!B140)</f>
        <v>500</v>
      </c>
      <c r="L40" s="8">
        <f>IF('Model inputs'!B140="","",'Model inputs'!B140)</f>
        <v>500</v>
      </c>
      <c r="M40" s="8">
        <f>IF('Model inputs'!B140="","",'Model inputs'!B140)</f>
        <v>500</v>
      </c>
      <c r="N40" s="8">
        <f>IF('Model inputs'!B140="","",'Model inputs'!B140)</f>
        <v>500</v>
      </c>
      <c r="O40" s="8">
        <f>IF('Model inputs'!B140="","",'Model inputs'!B140)</f>
        <v>500</v>
      </c>
      <c r="P40" s="8">
        <f>IF('Model inputs'!B140="","",'Model inputs'!B140)</f>
        <v>500</v>
      </c>
    </row>
    <row r="41">
      <c r="A41" t="inlineStr" s="37">
        <is>
          <t xml:space="preserve">Marketing · Optimistic</t>
        </is>
      </c>
      <c r="P41" s="8">
        <f>IF('Model inputs'!B223="","",'Model inputs'!B223)</f>
        <v>500</v>
      </c>
    </row>
    <row r="42">
      <c r="A42" t="inlineStr" s="37">
        <is>
          <t xml:space="preserve">Marketing · Conservative</t>
        </is>
      </c>
      <c r="P42" s="8">
        <f>IF('Model inputs'!B224="","",'Model inputs'!B224)</f>
        <v>500</v>
      </c>
    </row>
    <row r="43">
      <c r="A43" t="inlineStr" s="37">
        <is>
          <t xml:space="preserve">Mix weighted expected runs</t>
        </is>
      </c>
      <c r="C43" s="6">
        <f>'Model inputs'!B142*'Model inputs'!B128</f>
        <v>0</v>
      </c>
    </row>
    <row r="44" outlineLevel="1">
      <c r="A44" t="inlineStr" s="38">
        <is>
          <t xml:space="preserve">Mix weighted expected runs &gt; Maintainer</t>
        </is>
      </c>
      <c r="C44" s="8">
        <f>'Model inputs'!B143*'Model inputs'!B129</f>
        <v>5.75</v>
      </c>
    </row>
    <row r="45" outlineLevel="1">
      <c r="A45" t="inlineStr" s="38">
        <is>
          <t xml:space="preserve">Mix weighted expected runs &gt; Starter</t>
        </is>
      </c>
      <c r="C45" s="8">
        <f>'Model inputs'!B144*'Model inputs'!B130</f>
        <v>13.649999999999999</v>
      </c>
    </row>
    <row r="46" outlineLevel="1">
      <c r="A46" t="inlineStr" s="38">
        <is>
          <t xml:space="preserve">Mix weighted expected runs &gt; Team</t>
        </is>
      </c>
      <c r="C46" s="8">
        <f>'Model inputs'!B145*'Model inputs'!B131</f>
        <v>26.625</v>
      </c>
    </row>
    <row r="47">
      <c r="A47" t="inlineStr" s="37">
        <is>
          <t xml:space="preserve">Mix weighted full allowance runs</t>
        </is>
      </c>
      <c r="C47" s="6">
        <f>'Model inputs'!B142*'Model inputs'!B134</f>
        <v>0</v>
      </c>
    </row>
    <row r="48" outlineLevel="1">
      <c r="A48" t="inlineStr" s="38">
        <is>
          <t xml:space="preserve">Mix weighted full allowance runs &gt; Maintainer</t>
        </is>
      </c>
      <c r="C48" s="8">
        <f>'Model inputs'!B143*'Model inputs'!B135</f>
        <v>10.25</v>
      </c>
    </row>
    <row r="49" outlineLevel="1">
      <c r="A49" t="inlineStr" s="38">
        <is>
          <t xml:space="preserve">Mix weighted full allowance runs &gt; Starter</t>
        </is>
      </c>
      <c r="C49" s="8">
        <f>'Model inputs'!B144*'Model inputs'!B136</f>
        <v>22.049999999999997</v>
      </c>
    </row>
    <row r="50" outlineLevel="1">
      <c r="A50" t="inlineStr" s="38">
        <is>
          <t xml:space="preserve">Mix weighted full allowance runs &gt; Team</t>
        </is>
      </c>
      <c r="C50" s="8">
        <f>'Model inputs'!B145*'Model inputs'!B137</f>
        <v>39.75</v>
      </c>
    </row>
    <row r="51">
      <c r="A51" t="inlineStr" s="37">
        <is>
          <t xml:space="preserve">Mix weighted revenue</t>
        </is>
      </c>
      <c r="C51" s="6">
        <f>'Model inputs'!B142*'Model inputs'!B150</f>
        <v>0</v>
      </c>
    </row>
    <row r="52" outlineLevel="1">
      <c r="A52" t="inlineStr" s="38">
        <is>
          <t xml:space="preserve">Mix weighted revenue &gt; Maintainer</t>
        </is>
      </c>
      <c r="C52" s="8">
        <f>'Model inputs'!B143*'Model inputs'!B151</f>
        <v>15.125</v>
      </c>
    </row>
    <row r="53" outlineLevel="1">
      <c r="A53" t="inlineStr" s="38">
        <is>
          <t xml:space="preserve">Mix weighted revenue &gt; Starter</t>
        </is>
      </c>
      <c r="C53" s="8">
        <f>'Model inputs'!B144*'Model inputs'!B152</f>
        <v>37.012499999999996</v>
      </c>
    </row>
    <row r="54" outlineLevel="1">
      <c r="A54" t="inlineStr" s="38">
        <is>
          <t xml:space="preserve">Mix weighted revenue &gt; Team</t>
        </is>
      </c>
      <c r="C54" s="8">
        <f>'Model inputs'!B145*'Model inputs'!B153</f>
        <v>64.35</v>
      </c>
    </row>
    <row r="55">
      <c r="A55" t="inlineStr" s="37">
        <is>
          <t xml:space="preserve">Monthly growth in new customers</t>
        </is>
      </c>
      <c r="B55" s="8">
        <f>'Torque Assumptions · Growth &amp; o'!B6</f>
        <v>0.25</v>
      </c>
    </row>
    <row r="56">
      <c r="A56" t="inlineStr" s="37">
        <is>
          <t xml:space="preserve">Net cash flow after credits</t>
        </is>
      </c>
      <c r="D56" s="8">
        <v>0</v>
      </c>
      <c r="E56" s="8">
        <f>'Model inputs'!E16-'Model inputs'!E63</f>
        <v>-615.4167625</v>
      </c>
      <c r="F56" s="8">
        <f>'Model inputs'!F16-'Model inputs'!F63</f>
        <v>-431.6430602500001</v>
      </c>
      <c r="G56" s="8">
        <f>'Model inputs'!G16-'Model inputs'!G63</f>
        <v>-153.4717039112503</v>
      </c>
      <c r="H56" s="8">
        <f>'Model inputs'!H16-'Model inputs'!H63</f>
        <v>186.83283371952507</v>
      </c>
      <c r="I56" s="8">
        <f>'Model inputs'!I16-'Model inputs'!I63</f>
        <v>605.1680047049426</v>
      </c>
      <c r="J56" s="8">
        <f>'Model inputs'!J16-'Model inputs'!J63</f>
        <v>1121.3850654869302</v>
      </c>
      <c r="K56" s="8">
        <f>'Model inputs'!K16-'Model inputs'!K63</f>
        <v>1760.2788296840608</v>
      </c>
      <c r="L56" s="8">
        <f>'Model inputs'!L16-'Model inputs'!L63</f>
        <v>2552.8247695302384</v>
      </c>
      <c r="M56" s="8">
        <f>'Model inputs'!M16-'Model inputs'!M63</f>
        <v>3537.7253096279373</v>
      </c>
      <c r="N56" s="8">
        <f>'Model inputs'!N16-'Model inputs'!N63</f>
        <v>4763.3426171167375</v>
      </c>
      <c r="O56" s="8">
        <f>'Model inputs'!O16-'Model inputs'!O63</f>
        <v>6290.11451793016</v>
      </c>
      <c r="P56" s="8">
        <f>'Model inputs'!P16-'Model inputs'!P63</f>
        <v>8193.57432581397</v>
      </c>
    </row>
    <row r="57">
      <c r="A57" t="inlineStr" s="37">
        <is>
          <t xml:space="preserve">Net cash flow before credits</t>
        </is>
      </c>
      <c r="D57" s="8">
        <v>0</v>
      </c>
      <c r="E57" s="8">
        <f>'Model inputs'!E17-'Model inputs'!E63</f>
        <v>-660.4167625</v>
      </c>
      <c r="F57" s="8">
        <f>'Model inputs'!F17-'Model inputs'!F63</f>
        <v>-431.6430602500001</v>
      </c>
      <c r="G57" s="8">
        <f>'Model inputs'!G17-'Model inputs'!G63</f>
        <v>-153.4717039112503</v>
      </c>
      <c r="H57" s="8">
        <f>'Model inputs'!H17-'Model inputs'!H63</f>
        <v>186.83283371952507</v>
      </c>
      <c r="I57" s="8">
        <f>'Model inputs'!I17-'Model inputs'!I63</f>
        <v>605.1680047049426</v>
      </c>
      <c r="J57" s="8">
        <f>'Model inputs'!J17-'Model inputs'!J63</f>
        <v>1121.3850654869302</v>
      </c>
      <c r="K57" s="8">
        <f>'Model inputs'!K17-'Model inputs'!K63</f>
        <v>1760.2788296840608</v>
      </c>
      <c r="L57" s="8">
        <f>'Model inputs'!L17-'Model inputs'!L63</f>
        <v>2552.8247695302384</v>
      </c>
      <c r="M57" s="8">
        <f>'Model inputs'!M17-'Model inputs'!M63</f>
        <v>3537.7253096279373</v>
      </c>
      <c r="N57" s="8">
        <f>'Model inputs'!N17-'Model inputs'!N63</f>
        <v>4763.3426171167375</v>
      </c>
      <c r="O57" s="8">
        <f>'Model inputs'!O17-'Model inputs'!O63</f>
        <v>6290.11451793016</v>
      </c>
      <c r="P57" s="8">
        <f>'Model inputs'!P17-'Model inputs'!P63</f>
        <v>8193.57432581397</v>
      </c>
    </row>
    <row r="58">
      <c r="A58" t="inlineStr" s="37">
        <is>
          <t xml:space="preserve">New customers</t>
        </is>
      </c>
      <c r="D58" s="8">
        <v>0</v>
      </c>
      <c r="E58" s="8">
        <f>'Model inputs'!B59*IF(AND((1+'Model inputs'!B55)=0,DATEDIF(DATE(2026,10,1),DATE(2026,10,1),"M")=0),SQRT(-1),(1+'Model inputs'!B55)^DATEDIF(DATE(2026,10,1),DATE(2026,10,1),"M"))</f>
        <v>3</v>
      </c>
      <c r="F58" s="8">
        <f>'Model inputs'!B59*IF(AND((1+'Model inputs'!B55)=0,DATEDIF(DATE(2026,10,1),DATE(2026,11,1),"M")=0),SQRT(-1),(1+'Model inputs'!B55)^DATEDIF(DATE(2026,10,1),DATE(2026,11,1),"M"))</f>
        <v>3.75</v>
      </c>
      <c r="G58" s="8">
        <f>'Model inputs'!B59*IF(AND((1+'Model inputs'!B55)=0,DATEDIF(DATE(2026,10,1),DATE(2026,12,1),"M")=0),SQRT(-1),(1+'Model inputs'!B55)^DATEDIF(DATE(2026,10,1),DATE(2026,12,1),"M"))</f>
        <v>4.6875</v>
      </c>
      <c r="H58" s="8">
        <f>'Model inputs'!B59*IF(AND((1+'Model inputs'!B55)=0,DATEDIF(DATE(2026,10,1),DATE(2027,1,1),"M")=0),SQRT(-1),(1+'Model inputs'!B55)^DATEDIF(DATE(2026,10,1),DATE(2027,1,1),"M"))</f>
        <v>5.859375</v>
      </c>
      <c r="I58" s="8">
        <f>'Model inputs'!B59*IF(AND((1+'Model inputs'!B55)=0,DATEDIF(DATE(2026,10,1),DATE(2027,2,1),"M")=0),SQRT(-1),(1+'Model inputs'!B55)^DATEDIF(DATE(2026,10,1),DATE(2027,2,1),"M"))</f>
        <v>7.32421875</v>
      </c>
      <c r="J58" s="8">
        <f>'Model inputs'!B59*IF(AND((1+'Model inputs'!B55)=0,DATEDIF(DATE(2026,10,1),DATE(2027,3,1),"M")=0),SQRT(-1),(1+'Model inputs'!B55)^DATEDIF(DATE(2026,10,1),DATE(2027,3,1),"M"))</f>
        <v>9.1552734375</v>
      </c>
      <c r="K58" s="8">
        <f>'Model inputs'!B59*IF(AND((1+'Model inputs'!B55)=0,DATEDIF(DATE(2026,10,1),DATE(2027,4,1),"M")=0),SQRT(-1),(1+'Model inputs'!B55)^DATEDIF(DATE(2026,10,1),DATE(2027,4,1),"M"))</f>
        <v>11.444091796875</v>
      </c>
      <c r="L58" s="8">
        <f>'Model inputs'!B59*IF(AND((1+'Model inputs'!B55)=0,DATEDIF(DATE(2026,10,1),DATE(2027,5,1),"M")=0),SQRT(-1),(1+'Model inputs'!B55)^DATEDIF(DATE(2026,10,1),DATE(2027,5,1),"M"))</f>
        <v>14.30511474609375</v>
      </c>
      <c r="M58" s="8">
        <f>'Model inputs'!B59*IF(AND((1+'Model inputs'!B55)=0,DATEDIF(DATE(2026,10,1),DATE(2027,6,1),"M")=0),SQRT(-1),(1+'Model inputs'!B55)^DATEDIF(DATE(2026,10,1),DATE(2027,6,1),"M"))</f>
        <v>17.881393432617188</v>
      </c>
      <c r="N58" s="8">
        <f>'Model inputs'!B59*IF(AND((1+'Model inputs'!B55)=0,DATEDIF(DATE(2026,10,1),DATE(2027,7,1),"M")=0),SQRT(-1),(1+'Model inputs'!B55)^DATEDIF(DATE(2026,10,1),DATE(2027,7,1),"M"))</f>
        <v>22.351741790771484</v>
      </c>
      <c r="O58" s="8">
        <f>'Model inputs'!B59*IF(AND((1+'Model inputs'!B55)=0,DATEDIF(DATE(2026,10,1),DATE(2027,8,1),"M")=0),SQRT(-1),(1+'Model inputs'!B55)^DATEDIF(DATE(2026,10,1),DATE(2027,8,1),"M"))</f>
        <v>27.939677238464355</v>
      </c>
      <c r="P58" s="8">
        <f>'Model inputs'!B59*IF(AND((1+'Model inputs'!B55)=0,DATEDIF(DATE(2026,10,1),DATE(2027,9,1),"M")=0),SQRT(-1),(1+'Model inputs'!B55)^DATEDIF(DATE(2026,10,1),DATE(2027,9,1),"M"))</f>
        <v>34.924596548080444</v>
      </c>
    </row>
    <row r="59">
      <c r="A59" t="inlineStr" s="37">
        <is>
          <t xml:space="preserve">New customers in launch month</t>
        </is>
      </c>
      <c r="B59" s="8">
        <f>'Torque Assumptions · Growth &amp; o'!B5</f>
        <v>3</v>
      </c>
    </row>
    <row r="60">
      <c r="A60" t="inlineStr" s="37">
        <is>
          <t xml:space="preserve">Observability and context cost · Torque Plan Summary · Scenario comparison: month 12 (Sep 2027) · Main Scenario</t>
        </is>
      </c>
      <c r="D60" s="8">
        <v>0</v>
      </c>
      <c r="E60" s="8">
        <f>SUM('Model inputs'!E26,'Model inputs'!E27,'Model inputs'!E28)*('Model inputs'!B162+'Model inputs'!B126)</f>
        <v>2.7615</v>
      </c>
      <c r="F60" s="8">
        <f>SUM('Model inputs'!F26,'Model inputs'!F27,'Model inputs'!F28)*('Model inputs'!B162+'Model inputs'!B126)</f>
        <v>6.0969</v>
      </c>
      <c r="G60" s="8">
        <f>SUM('Model inputs'!G26,'Model inputs'!G27,'Model inputs'!G28)*('Model inputs'!B162+'Model inputs'!B126)</f>
        <v>10.15536825</v>
      </c>
      <c r="H60" s="8">
        <f>SUM('Model inputs'!H26,'Model inputs'!H27,'Model inputs'!H28)*('Model inputs'!B162+'Model inputs'!B126)</f>
        <v>15.123042915</v>
      </c>
      <c r="I60" s="8">
        <f>SUM('Model inputs'!I26,'Model inputs'!I27,'Model inputs'!I28)*('Model inputs'!B162+'Model inputs'!B126)</f>
        <v>21.232295097674996</v>
      </c>
      <c r="J60" s="8">
        <f>SUM('Model inputs'!J26,'Model inputs'!J27,'Model inputs'!J28)*('Model inputs'!B162+'Model inputs'!B126)</f>
        <v>28.773306191466</v>
      </c>
      <c r="K60" s="8">
        <f>SUM('Model inputs'!K26,'Model inputs'!K27,'Model inputs'!K28)*('Model inputs'!B162+'Model inputs'!B126)</f>
        <v>38.108538251092135</v>
      </c>
      <c r="L60" s="8">
        <f>SUM('Model inputs'!L26,'Model inputs'!L27,'Model inputs'!L28)*('Model inputs'!B162+'Model inputs'!B126)</f>
        <v>49.69082073133039</v>
      </c>
      <c r="M60" s="8">
        <f>SUM('Model inputs'!M26,'Model inputs'!M27,'Model inputs'!M28)*('Model inputs'!B162+'Model inputs'!B126)</f>
        <v>64.08595777532291</v>
      </c>
      <c r="N60" s="8">
        <f>SUM('Model inputs'!N26,'Model inputs'!N27,'Model inputs'!N28)*('Model inputs'!B162+'Model inputs'!B126)</f>
        <v>82.00098627225263</v>
      </c>
      <c r="O60" s="8">
        <f>SUM('Model inputs'!O26,'Model inputs'!O27,'Model inputs'!O28)*('Model inputs'!B162+'Model inputs'!B126)</f>
        <v>104.31949745297379</v>
      </c>
      <c r="P60" s="8">
        <f>SUM('Model inputs'!P26,'Model inputs'!P27,'Model inputs'!P28)*('Model inputs'!B162+'Model inputs'!B126)</f>
        <v>132.14578797859548</v>
      </c>
    </row>
    <row r="61">
      <c r="A61" t="inlineStr" s="37">
        <is>
          <t xml:space="preserve">Observability and context cost · Optimistic</t>
        </is>
      </c>
      <c r="P61" s="8">
        <f>SUM('Model inputs'!P30,'Model inputs'!P31,'Model inputs'!P32)*('Model inputs'!B307+'Model inputs'!B205)</f>
        <v>306.2887572731705</v>
      </c>
    </row>
    <row r="62">
      <c r="A62" t="inlineStr" s="37">
        <is>
          <t xml:space="preserve">Observability and context cost · Conservative</t>
        </is>
      </c>
      <c r="P62" s="8">
        <f>SUM('Model inputs'!P34,'Model inputs'!P35,'Model inputs'!P36)*('Model inputs'!B308+'Model inputs'!B206)</f>
        <v>38.6076433098475</v>
      </c>
    </row>
    <row r="63">
      <c r="A63" t="inlineStr" s="37">
        <is>
          <t xml:space="preserve">Operating expenses · Torque Plan Summary · Scenario comparison: month 12 (Sep 2027)</t>
        </is>
      </c>
      <c r="D63" s="8">
        <v>0</v>
      </c>
      <c r="E63" s="8">
        <f>'Model inputs'!E116+'Model inputs'!E94+'Model inputs'!E40</f>
        <v>700</v>
      </c>
      <c r="F63" s="8">
        <f>'Model inputs'!F116+'Model inputs'!F94+'Model inputs'!F40</f>
        <v>700</v>
      </c>
      <c r="G63" s="8">
        <f>'Model inputs'!G116+'Model inputs'!G94+'Model inputs'!G40</f>
        <v>700</v>
      </c>
      <c r="H63" s="8">
        <f>'Model inputs'!H116+'Model inputs'!H94+'Model inputs'!H40</f>
        <v>700</v>
      </c>
      <c r="I63" s="8">
        <f>'Model inputs'!I116+'Model inputs'!I94+'Model inputs'!I40</f>
        <v>700</v>
      </c>
      <c r="J63" s="8">
        <f>'Model inputs'!J116+'Model inputs'!J94+'Model inputs'!J40</f>
        <v>700</v>
      </c>
      <c r="K63" s="8">
        <f>'Model inputs'!K116+'Model inputs'!K94+'Model inputs'!K40</f>
        <v>700</v>
      </c>
      <c r="L63" s="8">
        <f>'Model inputs'!L116+'Model inputs'!L94+'Model inputs'!L40</f>
        <v>700</v>
      </c>
      <c r="M63" s="8">
        <f>'Model inputs'!M116+'Model inputs'!M94+'Model inputs'!M40</f>
        <v>700</v>
      </c>
      <c r="N63" s="8">
        <f>'Model inputs'!N116+'Model inputs'!N94+'Model inputs'!N40</f>
        <v>700</v>
      </c>
      <c r="O63" s="8">
        <f>'Model inputs'!O116+'Model inputs'!O94+'Model inputs'!O40</f>
        <v>700</v>
      </c>
      <c r="P63" s="8">
        <f>'Model inputs'!P116+'Model inputs'!P94+'Model inputs'!P40</f>
        <v>700</v>
      </c>
    </row>
    <row r="64">
      <c r="A64" t="inlineStr" s="37">
        <is>
          <t xml:space="preserve">Overage revenue</t>
        </is>
      </c>
      <c r="D64" s="6">
        <f>SUM('Model inputs'!D65,'Model inputs'!D66,'Model inputs'!D67)</f>
        <v>0</v>
      </c>
      <c r="E64" s="6">
        <f>SUM('Model inputs'!E65,'Model inputs'!E66,'Model inputs'!E67)</f>
        <v>22.4625</v>
      </c>
      <c r="F64" s="6">
        <f>SUM('Model inputs'!F65,'Model inputs'!F66,'Model inputs'!F67)</f>
        <v>49.631249999999994</v>
      </c>
      <c r="G64" s="6">
        <f>SUM('Model inputs'!G65,'Model inputs'!G66,'Model inputs'!G67)</f>
        <v>82.72468124999999</v>
      </c>
      <c r="H64" s="6">
        <f>SUM('Model inputs'!H65,'Model inputs'!H66,'Model inputs'!H67)</f>
        <v>123.263622375</v>
      </c>
      <c r="I64" s="6">
        <f>SUM('Model inputs'!I65,'Model inputs'!I66,'Model inputs'!I67)</f>
        <v>173.147030750625</v>
      </c>
      <c r="J64" s="6">
        <f>SUM('Model inputs'!J65,'Model inputs'!J66,'Model inputs'!J67)</f>
        <v>234.74664803576252</v>
      </c>
      <c r="K64" s="6">
        <f>SUM('Model inputs'!K65,'Model inputs'!K66,'Model inputs'!K67)</f>
        <v>311.02531151356925</v>
      </c>
      <c r="L64" s="6">
        <f>SUM('Model inputs'!L65,'Model inputs'!L66,'Model inputs'!L67)</f>
        <v>405.6848357598897</v>
      </c>
      <c r="M64" s="6">
        <f>SUM('Model inputs'!M65,'Model inputs'!M66,'Model inputs'!M67)</f>
        <v>523.3508577461653</v>
      </c>
      <c r="N64" s="6">
        <f>SUM('Model inputs'!N65,'Model inputs'!N66,'Model inputs'!N67)</f>
        <v>669.8038867221286</v>
      </c>
      <c r="O64" s="6">
        <f>SUM('Model inputs'!O65,'Model inputs'!O66,'Model inputs'!O67)</f>
        <v>852.2681105242636</v>
      </c>
      <c r="P64" s="6">
        <f>SUM('Model inputs'!P65,'Model inputs'!P66,'Model inputs'!P67)</f>
        <v>1079.772397834564</v>
      </c>
    </row>
    <row r="65" outlineLevel="1">
      <c r="A65" t="inlineStr" s="38">
        <is>
          <t xml:space="preserve">Overage revenue &gt; Maintainer</t>
        </is>
      </c>
      <c r="D65" s="8">
        <f>0</f>
        <v>0</v>
      </c>
      <c r="E65" s="8">
        <f>'Model inputs'!E77*'Model inputs'!B184*'Model inputs'!B180</f>
        <v>1.875</v>
      </c>
      <c r="F65" s="8">
        <f>'Model inputs'!F77*'Model inputs'!B184*'Model inputs'!B180</f>
        <v>4.06875</v>
      </c>
      <c r="G65" s="8">
        <f>'Model inputs'!G77*'Model inputs'!B184*'Model inputs'!B180</f>
        <v>6.6729375</v>
      </c>
      <c r="H65" s="8">
        <f>'Model inputs'!H77*'Model inputs'!B184*'Model inputs'!B180</f>
        <v>9.801211875</v>
      </c>
      <c r="I65" s="8">
        <f>'Model inputs'!I77*'Model inputs'!B184*'Model inputs'!B180</f>
        <v>13.594751643750001</v>
      </c>
      <c r="J65" s="8">
        <f>'Model inputs'!J77*'Model inputs'!B184*'Model inputs'!B180</f>
        <v>18.2292174106875</v>
      </c>
      <c r="K65" s="8">
        <f>'Model inputs'!K77*'Model inputs'!B184*'Model inputs'!B180</f>
        <v>23.92343739087938</v>
      </c>
      <c r="L65" s="8">
        <f>'Model inputs'!L77*'Model inputs'!B184*'Model inputs'!B180</f>
        <v>30.95025911591762</v>
      </c>
      <c r="M65" s="8">
        <f>'Model inputs'!M77*'Model inputs'!B184*'Model inputs'!B180</f>
        <v>39.65010928202996</v>
      </c>
      <c r="N65" s="8">
        <f>'Model inputs'!N77*'Model inputs'!B184*'Model inputs'!B180</f>
        <v>50.44793915869974</v>
      </c>
      <c r="O65" s="8">
        <f>'Model inputs'!O77*'Model inputs'!B184*'Model inputs'!B180</f>
        <v>63.87440230004398</v>
      </c>
      <c r="P65" s="8">
        <f>'Model inputs'!P77*'Model inputs'!B184*'Model inputs'!B180</f>
        <v>80.59232295859076</v>
      </c>
    </row>
    <row r="66" outlineLevel="1">
      <c r="A66" t="inlineStr" s="38">
        <is>
          <t xml:space="preserve">Overage revenue &gt; Starter</t>
        </is>
      </c>
      <c r="D66" s="8">
        <f>0</f>
        <v>0</v>
      </c>
      <c r="E66" s="8">
        <f>'Model inputs'!E78*'Model inputs'!B185*'Model inputs'!B181</f>
        <v>7.087499999999999</v>
      </c>
      <c r="F66" s="8">
        <f>'Model inputs'!F78*'Model inputs'!B185*'Model inputs'!B181</f>
        <v>15.592499999999998</v>
      </c>
      <c r="G66" s="8">
        <f>'Model inputs'!G78*'Model inputs'!B185*'Model inputs'!B181</f>
        <v>25.88709375</v>
      </c>
      <c r="H66" s="8">
        <f>'Model inputs'!H78*'Model inputs'!B185*'Model inputs'!B181</f>
        <v>38.435512499999994</v>
      </c>
      <c r="I66" s="8">
        <f>'Model inputs'!I78*'Model inputs'!B185*'Model inputs'!B181</f>
        <v>53.817203671875</v>
      </c>
      <c r="J66" s="8">
        <f>'Model inputs'!J78*'Model inputs'!B185*'Model inputs'!B181</f>
        <v>72.755676984375</v>
      </c>
      <c r="K66" s="8">
        <f>'Model inputs'!K78*'Model inputs'!B185*'Model inputs'!B181</f>
        <v>96.15456000527342</v>
      </c>
      <c r="L66" s="8">
        <f>'Model inputs'!L78*'Model inputs'!B185*'Model inputs'!B181</f>
        <v>125.14266559265624</v>
      </c>
      <c r="M66" s="8">
        <f>'Model inputs'!M78*'Model inputs'!B185*'Model inputs'!B181</f>
        <v>161.13032429758155</v>
      </c>
      <c r="N66" s="8">
        <f>'Model inputs'!N78*'Model inputs'!B185*'Model inputs'!B181</f>
        <v>205.8797980634001</v>
      </c>
      <c r="O66" s="8">
        <f>'Model inputs'!O78*'Model inputs'!B185*'Model inputs'!B181</f>
        <v>261.5932956361021</v>
      </c>
      <c r="P66" s="8">
        <f>'Model inputs'!P78*'Model inputs'!B185*'Model inputs'!B181</f>
        <v>331.022990199137</v>
      </c>
    </row>
    <row r="67" outlineLevel="1">
      <c r="A67" t="inlineStr" s="38">
        <is>
          <t xml:space="preserve">Overage revenue &gt; Team</t>
        </is>
      </c>
      <c r="D67" s="8">
        <f>0</f>
        <v>0</v>
      </c>
      <c r="E67" s="8">
        <f>'Model inputs'!E79*'Model inputs'!B186*'Model inputs'!B182</f>
        <v>13.499999999999998</v>
      </c>
      <c r="F67" s="8">
        <f>'Model inputs'!F79*'Model inputs'!B186*'Model inputs'!B182</f>
        <v>29.969999999999995</v>
      </c>
      <c r="G67" s="8">
        <f>'Model inputs'!G79*'Model inputs'!B186*'Model inputs'!B182</f>
        <v>50.164649999999995</v>
      </c>
      <c r="H67" s="8">
        <f>'Model inputs'!H79*'Model inputs'!B186*'Model inputs'!B182</f>
        <v>75.026898</v>
      </c>
      <c r="I67" s="8">
        <f>'Model inputs'!I79*'Model inputs'!B186*'Model inputs'!B182</f>
        <v>105.735075435</v>
      </c>
      <c r="J67" s="8">
        <f>'Model inputs'!J79*'Model inputs'!B186*'Model inputs'!B182</f>
        <v>143.76175364070002</v>
      </c>
      <c r="K67" s="8">
        <f>'Model inputs'!K79*'Model inputs'!B186*'Model inputs'!B182</f>
        <v>190.94731411741648</v>
      </c>
      <c r="L67" s="8">
        <f>'Model inputs'!L79*'Model inputs'!B186*'Model inputs'!B182</f>
        <v>249.59191105131586</v>
      </c>
      <c r="M67" s="8">
        <f>'Model inputs'!M79*'Model inputs'!B186*'Model inputs'!B182</f>
        <v>322.5704241665537</v>
      </c>
      <c r="N67" s="8">
        <f>'Model inputs'!N79*'Model inputs'!B186*'Model inputs'!B182</f>
        <v>413.4761495000288</v>
      </c>
      <c r="O67" s="8">
        <f>'Model inputs'!O79*'Model inputs'!B186*'Model inputs'!B182</f>
        <v>526.8004125881175</v>
      </c>
      <c r="P67" s="8">
        <f>'Model inputs'!P79*'Model inputs'!B186*'Model inputs'!B182</f>
        <v>668.1570846768361</v>
      </c>
    </row>
    <row r="68">
      <c r="A68" t="inlineStr" s="37">
        <is>
          <t xml:space="preserve">Overage revenue</t>
        </is>
      </c>
      <c r="P68" s="6">
        <f>SUM('Model inputs'!P69,'Model inputs'!P70,'Model inputs'!P71)</f>
        <v>2935.4720822429763</v>
      </c>
    </row>
    <row r="69" outlineLevel="1">
      <c r="A69" t="inlineStr" s="38">
        <is>
          <t xml:space="preserve">Overage revenue &gt; Maintainer</t>
        </is>
      </c>
      <c r="P69" s="8">
        <f>'Model inputs'!P81*'Model inputs'!B276*'Model inputs'!B268</f>
        <v>226.2057758362435</v>
      </c>
    </row>
    <row r="70" outlineLevel="1">
      <c r="A70" t="inlineStr" s="38">
        <is>
          <t xml:space="preserve">Overage revenue &gt; Starter</t>
        </is>
      </c>
      <c r="P70" s="8">
        <f>'Model inputs'!P82*'Model inputs'!B277*'Model inputs'!B269</f>
        <v>909.4101785030565</v>
      </c>
    </row>
    <row r="71" outlineLevel="1">
      <c r="A71" t="inlineStr" s="38">
        <is>
          <t xml:space="preserve">Overage revenue &gt; Team</t>
        </is>
      </c>
      <c r="P71" s="8">
        <f>'Model inputs'!P83*'Model inputs'!B278*'Model inputs'!B270</f>
        <v>1799.8561279036762</v>
      </c>
    </row>
    <row r="72">
      <c r="A72" t="inlineStr" s="37">
        <is>
          <t xml:space="preserve">Overage revenue</t>
        </is>
      </c>
      <c r="P72" s="6">
        <f>SUM('Model inputs'!P73,'Model inputs'!P74,'Model inputs'!P75)</f>
        <v>256.93188744934014</v>
      </c>
    </row>
    <row r="73" outlineLevel="1">
      <c r="A73" t="inlineStr" s="38">
        <is>
          <t xml:space="preserve">Overage revenue &gt; Maintainer</t>
        </is>
      </c>
      <c r="P73" s="8">
        <f>'Model inputs'!P85*'Model inputs'!B280*'Model inputs'!B272</f>
        <v>17.8283991307362</v>
      </c>
    </row>
    <row r="74" outlineLevel="1">
      <c r="A74" t="inlineStr" s="38">
        <is>
          <t xml:space="preserve">Overage revenue &gt; Starter</t>
        </is>
      </c>
      <c r="P74" s="8">
        <f>'Model inputs'!P86*'Model inputs'!B281*'Model inputs'!B273</f>
        <v>76.76970021748029</v>
      </c>
    </row>
    <row r="75" outlineLevel="1">
      <c r="A75" t="inlineStr" s="38">
        <is>
          <t xml:space="preserve">Overage revenue &gt; Team</t>
        </is>
      </c>
      <c r="P75" s="8">
        <f>'Model inputs'!P87*'Model inputs'!B282*'Model inputs'!B274</f>
        <v>162.33378810112362</v>
      </c>
    </row>
    <row r="76">
      <c r="A76" t="inlineStr" s="37">
        <is>
          <t xml:space="preserve">Paying customers</t>
        </is>
      </c>
      <c r="D76" s="6">
        <f>SUM('Model inputs'!D77,'Model inputs'!D78,'Model inputs'!D79)</f>
        <v>0</v>
      </c>
      <c r="E76" s="6">
        <f>SUM('Model inputs'!E77,'Model inputs'!E78,'Model inputs'!E79)</f>
        <v>3</v>
      </c>
      <c r="F76" s="6">
        <f>SUM('Model inputs'!F77,'Model inputs'!F78,'Model inputs'!F79)</f>
        <v>6.563999999999999</v>
      </c>
      <c r="G76" s="6">
        <f>SUM('Model inputs'!G77,'Model inputs'!G78,'Model inputs'!G79)</f>
        <v>10.84563</v>
      </c>
      <c r="H76" s="6">
        <f>SUM('Model inputs'!H77,'Model inputs'!H78,'Model inputs'!H79)</f>
        <v>16.036016099999998</v>
      </c>
      <c r="I76" s="6">
        <f>SUM('Model inputs'!I77,'Model inputs'!I78,'Model inputs'!I79)</f>
        <v>22.373222892</v>
      </c>
      <c r="J76" s="6">
        <f>SUM('Model inputs'!J77,'Model inputs'!J78,'Model inputs'!J79)</f>
        <v>30.154051195740003</v>
      </c>
      <c r="K76" s="6">
        <f>SUM('Model inputs'!K77,'Model inputs'!K78,'Model inputs'!K79)</f>
        <v>39.7487803840653</v>
      </c>
      <c r="L76" s="6">
        <f>SUM('Model inputs'!L77,'Model inputs'!L78,'Model inputs'!L79)</f>
        <v>51.619591822986294</v>
      </c>
      <c r="M76" s="6">
        <f>SUM('Model inputs'!M77,'Model inputs'!M78,'Model inputs'!M79)</f>
        <v>66.34359405303968</v>
      </c>
      <c r="N76" s="6">
        <f>SUM('Model inputs'!N77,'Model inputs'!N78,'Model inputs'!N79)</f>
        <v>84.64160046783483</v>
      </c>
      <c r="O76" s="6">
        <f>SUM('Model inputs'!O77,'Model inputs'!O78,'Model inputs'!O79)</f>
        <v>107.414097909432</v>
      </c>
      <c r="P76" s="6">
        <f>SUM('Model inputs'!P77,'Model inputs'!P78,'Model inputs'!P79)</f>
        <v>135.78620418189854</v>
      </c>
    </row>
    <row r="77" outlineLevel="1">
      <c r="A77" t="inlineStr" s="38">
        <is>
          <t xml:space="preserve">Paying customers &gt; Maintainer</t>
        </is>
      </c>
      <c r="D77" s="8">
        <f>0</f>
        <v>0</v>
      </c>
      <c r="E77" s="8">
        <f>'Model inputs'!D77*(1-'Torque Assumptions · Tier prici'!H5)+'Model inputs'!E58*'Model inputs'!B143</f>
        <v>1.5</v>
      </c>
      <c r="F77" s="8">
        <f>'Model inputs'!E77*(1-'Torque Assumptions · Tier prici'!H5)+'Model inputs'!F58*'Model inputs'!B143</f>
        <v>3.255</v>
      </c>
      <c r="G77" s="8">
        <f>'Model inputs'!F77*(1-'Torque Assumptions · Tier prici'!H5)+'Model inputs'!G58*'Model inputs'!B143</f>
        <v>5.33835</v>
      </c>
      <c r="H77" s="8">
        <f>'Model inputs'!G77*(1-'Torque Assumptions · Tier prici'!H5)+'Model inputs'!H58*'Model inputs'!B143</f>
        <v>7.8409695</v>
      </c>
      <c r="I77" s="8">
        <f>'Model inputs'!H77*(1-'Torque Assumptions · Tier prici'!H5)+'Model inputs'!I58*'Model inputs'!B143</f>
        <v>10.875801315</v>
      </c>
      <c r="J77" s="8">
        <f>'Model inputs'!I77*(1-'Torque Assumptions · Tier prici'!H5)+'Model inputs'!J58*'Model inputs'!B143</f>
        <v>14.583373928550001</v>
      </c>
      <c r="K77" s="8">
        <f>'Model inputs'!J77*(1-'Torque Assumptions · Tier prici'!H5)+'Model inputs'!K58*'Model inputs'!B143</f>
        <v>19.138749912703503</v>
      </c>
      <c r="L77" s="8">
        <f>'Model inputs'!K77*(1-'Torque Assumptions · Tier prici'!H5)+'Model inputs'!L58*'Model inputs'!B143</f>
        <v>24.760207292734098</v>
      </c>
      <c r="M77" s="8">
        <f>'Model inputs'!L77*(1-'Torque Assumptions · Tier prici'!H5)+'Model inputs'!M58*'Model inputs'!B143</f>
        <v>31.720087425623966</v>
      </c>
      <c r="N77" s="8">
        <f>'Model inputs'!M77*(1-'Torque Assumptions · Tier prici'!H5)+'Model inputs'!N58*'Model inputs'!B143</f>
        <v>40.35835132695979</v>
      </c>
      <c r="O77" s="8">
        <f>'Model inputs'!N77*(1-'Torque Assumptions · Tier prici'!H5)+'Model inputs'!O58*'Model inputs'!B143</f>
        <v>51.09952184003519</v>
      </c>
      <c r="P77" s="8">
        <f>'Model inputs'!O77*(1-'Torque Assumptions · Tier prici'!H5)+'Model inputs'!P58*'Model inputs'!B143</f>
        <v>64.4738583668726</v>
      </c>
    </row>
    <row r="78" outlineLevel="1">
      <c r="A78" t="inlineStr" s="38">
        <is>
          <t xml:space="preserve">Paying customers &gt; Starter</t>
        </is>
      </c>
      <c r="D78" s="8">
        <f>0</f>
        <v>0</v>
      </c>
      <c r="E78" s="8">
        <f>'Model inputs'!D78*(1-'Torque Assumptions · Tier prici'!H6)+'Model inputs'!E58*'Model inputs'!B144</f>
        <v>1.0499999999999998</v>
      </c>
      <c r="F78" s="8">
        <f>'Model inputs'!E78*(1-'Torque Assumptions · Tier prici'!H6)+'Model inputs'!F58*'Model inputs'!B144</f>
        <v>2.3099999999999996</v>
      </c>
      <c r="G78" s="8">
        <f>'Model inputs'!F78*(1-'Torque Assumptions · Tier prici'!H6)+'Model inputs'!G58*'Model inputs'!B144</f>
        <v>3.8351249999999997</v>
      </c>
      <c r="H78" s="8">
        <f>'Model inputs'!G78*(1-'Torque Assumptions · Tier prici'!H6)+'Model inputs'!H58*'Model inputs'!B144</f>
        <v>5.69415</v>
      </c>
      <c r="I78" s="8">
        <f>'Model inputs'!H78*(1-'Torque Assumptions · Tier prici'!H6)+'Model inputs'!I58*'Model inputs'!B144</f>
        <v>7.972919062499999</v>
      </c>
      <c r="J78" s="8">
        <f>'Model inputs'!I78*(1-'Torque Assumptions · Tier prici'!H6)+'Model inputs'!J58*'Model inputs'!B144</f>
        <v>10.7786188125</v>
      </c>
      <c r="K78" s="8">
        <f>'Model inputs'!J78*(1-'Torque Assumptions · Tier prici'!H6)+'Model inputs'!K58*'Model inputs'!B144</f>
        <v>14.245120000781249</v>
      </c>
      <c r="L78" s="8">
        <f>'Model inputs'!K78*(1-'Torque Assumptions · Tier prici'!H6)+'Model inputs'!L58*'Model inputs'!B144</f>
        <v>18.539654161875</v>
      </c>
      <c r="M78" s="8">
        <f>'Model inputs'!L78*(1-'Torque Assumptions · Tier prici'!H6)+'Model inputs'!M58*'Model inputs'!B144</f>
        <v>23.871159155197265</v>
      </c>
      <c r="N78" s="8">
        <f>'Model inputs'!M78*(1-'Torque Assumptions · Tier prici'!H6)+'Model inputs'!N58*'Model inputs'!B144</f>
        <v>30.50071082420742</v>
      </c>
      <c r="O78" s="8">
        <f>'Model inputs'!N78*(1-'Torque Assumptions · Tier prici'!H6)+'Model inputs'!O58*'Model inputs'!B144</f>
        <v>38.75456231645957</v>
      </c>
      <c r="P78" s="8">
        <f>'Model inputs'!O78*(1-'Torque Assumptions · Tier prici'!H6)+'Model inputs'!P58*'Model inputs'!B144</f>
        <v>49.04044299246475</v>
      </c>
    </row>
    <row r="79" outlineLevel="1">
      <c r="A79" t="inlineStr" s="38">
        <is>
          <t xml:space="preserve">Paying customers &gt; Team</t>
        </is>
      </c>
      <c r="D79" s="8">
        <f>0</f>
        <v>0</v>
      </c>
      <c r="E79" s="8">
        <f>'Model inputs'!D79*(1-'Torque Assumptions · Tier prici'!H7)+'Model inputs'!E58*'Model inputs'!B145</f>
        <v>0.44999999999999996</v>
      </c>
      <c r="F79" s="8">
        <f>'Model inputs'!E79*(1-'Torque Assumptions · Tier prici'!H7)+'Model inputs'!F58*'Model inputs'!B145</f>
        <v>0.9989999999999999</v>
      </c>
      <c r="G79" s="8">
        <f>'Model inputs'!F79*(1-'Torque Assumptions · Tier prici'!H7)+'Model inputs'!G58*'Model inputs'!B145</f>
        <v>1.6721549999999998</v>
      </c>
      <c r="H79" s="8">
        <f>'Model inputs'!G79*(1-'Torque Assumptions · Tier prici'!H7)+'Model inputs'!H58*'Model inputs'!B145</f>
        <v>2.5008966</v>
      </c>
      <c r="I79" s="8">
        <f>'Model inputs'!H79*(1-'Torque Assumptions · Tier prici'!H7)+'Model inputs'!I58*'Model inputs'!B145</f>
        <v>3.5245025145</v>
      </c>
      <c r="J79" s="8">
        <f>'Model inputs'!I79*(1-'Torque Assumptions · Tier prici'!H7)+'Model inputs'!J58*'Model inputs'!B145</f>
        <v>4.79205845469</v>
      </c>
      <c r="K79" s="8">
        <f>'Model inputs'!J79*(1-'Torque Assumptions · Tier prici'!H7)+'Model inputs'!K58*'Model inputs'!B145</f>
        <v>6.36491047058055</v>
      </c>
      <c r="L79" s="8">
        <f>'Model inputs'!K79*(1-'Torque Assumptions · Tier prici'!H7)+'Model inputs'!L58*'Model inputs'!B145</f>
        <v>8.319730368377195</v>
      </c>
      <c r="M79" s="8">
        <f>'Model inputs'!L79*(1-'Torque Assumptions · Tier prici'!H7)+'Model inputs'!M58*'Model inputs'!B145</f>
        <v>10.752347472218457</v>
      </c>
      <c r="N79" s="8">
        <f>'Model inputs'!M79*(1-'Torque Assumptions · Tier prici'!H7)+'Model inputs'!N58*'Model inputs'!B145</f>
        <v>13.782538316667626</v>
      </c>
      <c r="O79" s="8">
        <f>'Model inputs'!N79*(1-'Torque Assumptions · Tier prici'!H7)+'Model inputs'!O58*'Model inputs'!B145</f>
        <v>17.56001375293725</v>
      </c>
      <c r="P79" s="8">
        <f>'Model inputs'!O79*(1-'Torque Assumptions · Tier prici'!H7)+'Model inputs'!P58*'Model inputs'!B145</f>
        <v>22.271902822561202</v>
      </c>
    </row>
    <row r="80">
      <c r="A80" t="inlineStr" s="37">
        <is>
          <t xml:space="preserve">Paying customers</t>
        </is>
      </c>
      <c r="P80" s="6">
        <f>SUM('Model inputs'!P81,'Model inputs'!P82,'Model inputs'!P83)</f>
        <v>375.68725878475533</v>
      </c>
    </row>
    <row r="81" outlineLevel="1">
      <c r="A81" t="inlineStr" s="38">
        <is>
          <t xml:space="preserve">Paying customers &gt; Maintainer</t>
        </is>
      </c>
      <c r="P81" s="8">
        <f>'Model inputs'!O284*(1-'Model inputs'!B238)+'Model inputs'!P265*'Model inputs'!B258</f>
        <v>180.9646206689948</v>
      </c>
    </row>
    <row r="82" outlineLevel="1">
      <c r="A82" t="inlineStr" s="38">
        <is>
          <t xml:space="preserve">Paying customers &gt; Starter</t>
        </is>
      </c>
      <c r="P82" s="8">
        <f>'Model inputs'!O285*(1-'Model inputs'!B239)+'Model inputs'!P265*'Model inputs'!B259</f>
        <v>134.72743385230467</v>
      </c>
    </row>
    <row r="83" outlineLevel="1">
      <c r="A83" t="inlineStr" s="38">
        <is>
          <t xml:space="preserve">Paying customers &gt; Team</t>
        </is>
      </c>
      <c r="P83" s="8">
        <f>'Model inputs'!O286*(1-'Model inputs'!B240)+'Model inputs'!P265*'Model inputs'!B260</f>
        <v>59.995204263455875</v>
      </c>
    </row>
    <row r="84">
      <c r="A84" t="inlineStr" s="37">
        <is>
          <t xml:space="preserve">Paying customers</t>
        </is>
      </c>
      <c r="P84" s="6">
        <f>SUM('Model inputs'!P85,'Model inputs'!P86,'Model inputs'!P87)</f>
        <v>31.047134495734607</v>
      </c>
    </row>
    <row r="85" outlineLevel="1">
      <c r="A85" t="inlineStr" s="38">
        <is>
          <t xml:space="preserve">Paying customers &gt; Maintainer</t>
        </is>
      </c>
      <c r="P85" s="8">
        <f>'Model inputs'!O288*(1-'Model inputs'!B242)+'Model inputs'!P266*'Model inputs'!B262</f>
        <v>14.262719304588963</v>
      </c>
    </row>
    <row r="86" outlineLevel="1">
      <c r="A86" t="inlineStr" s="38">
        <is>
          <t xml:space="preserve">Paying customers &gt; Starter</t>
        </is>
      </c>
      <c r="P86" s="8">
        <f>'Model inputs'!O289*(1-'Model inputs'!B243)+'Model inputs'!P266*'Model inputs'!B263</f>
        <v>11.373288921108191</v>
      </c>
    </row>
    <row r="87" outlineLevel="1">
      <c r="A87" t="inlineStr" s="38">
        <is>
          <t xml:space="preserve">Paying customers &gt; Team</t>
        </is>
      </c>
      <c r="P87" s="8">
        <f>'Model inputs'!O290*(1-'Model inputs'!B244)+'Model inputs'!P266*'Model inputs'!B264</f>
        <v>5.411126270037454</v>
      </c>
    </row>
    <row r="88">
      <c r="A88" t="inlineStr" s="37">
        <is>
          <t xml:space="preserve">Payment processing cost · Torque Plan Summary · Scenario comparison: month 12 (Sep 2027) · Main Scenario</t>
        </is>
      </c>
      <c r="D88" s="8">
        <v>0</v>
      </c>
      <c r="E88" s="8">
        <f>'Model inputs'!E121*'Model inputs'!B148+SUM('Model inputs'!E77,'Model inputs'!E78,'Model inputs'!E79)*'Model inputs'!B146</f>
        <v>11.0344125</v>
      </c>
      <c r="F88" s="8">
        <f>'Model inputs'!F121*'Model inputs'!B148+SUM('Model inputs'!F77,'Model inputs'!F78,'Model inputs'!F79)*'Model inputs'!B146</f>
        <v>24.33740025</v>
      </c>
      <c r="G88" s="8">
        <f>'Model inputs'!G121*'Model inputs'!B148+SUM('Model inputs'!G77,'Model inputs'!G78,'Model inputs'!G79)*'Model inputs'!B146</f>
        <v>40.50140648625</v>
      </c>
      <c r="H88" s="8">
        <f>'Model inputs'!H121*'Model inputs'!B148+SUM('Model inputs'!H77,'Model inputs'!H78,'Model inputs'!H79)*'Model inputs'!B146</f>
        <v>60.26548443697501</v>
      </c>
      <c r="I88" s="8">
        <f>'Model inputs'!I121*'Model inputs'!B148+SUM('Model inputs'!I77,'Model inputs'!I78,'Model inputs'!I79)*'Model inputs'!B146</f>
        <v>84.55204888900013</v>
      </c>
      <c r="J88" s="8">
        <f>'Model inputs'!J121*'Model inputs'!B148+SUM('Model inputs'!J77,'Model inputs'!J78,'Model inputs'!J79)*'Model inputs'!B146</f>
        <v>114.51280861557515</v>
      </c>
      <c r="K88" s="8">
        <f>'Model inputs'!K121*'Model inputs'!B148+SUM('Model inputs'!K77,'Model inputs'!K78,'Model inputs'!K79)*'Model inputs'!B146</f>
        <v>151.58617540302726</v>
      </c>
      <c r="L88" s="8">
        <f>'Model inputs'!L121*'Model inputs'!B148+SUM('Model inputs'!L77,'Model inputs'!L78,'Model inputs'!L79)*'Model inputs'!B146</f>
        <v>197.56901930835772</v>
      </c>
      <c r="M88" s="8">
        <f>'Model inputs'!M121*'Model inputs'!B148+SUM('Model inputs'!M77,'Model inputs'!M78,'Model inputs'!M79)*'Model inputs'!B146</f>
        <v>254.70635715111158</v>
      </c>
      <c r="N88" s="8">
        <f>'Model inputs'!N121*'Model inputs'!B148+SUM('Model inputs'!N77,'Model inputs'!N78,'Model inputs'!N79)*'Model inputs'!B146</f>
        <v>325.803457959726</v>
      </c>
      <c r="O88" s="8">
        <f>'Model inputs'!O121*'Model inputs'!B148+SUM('Model inputs'!O77,'Model inputs'!O78,'Model inputs'!O79)*'Model inputs'!B146</f>
        <v>414.36596999129523</v>
      </c>
      <c r="P88" s="8">
        <f>'Model inputs'!P121*'Model inputs'!B148+SUM('Model inputs'!P77,'Model inputs'!P78,'Model inputs'!P79)*'Model inputs'!B146</f>
        <v>524.7750750695338</v>
      </c>
    </row>
    <row r="89">
      <c r="A89" t="inlineStr" s="37">
        <is>
          <t xml:space="preserve">Payment processing cost · Optimistic</t>
        </is>
      </c>
      <c r="P89" s="8">
        <f>'Torque Plan Summary · Scenario'!D7*'Model inputs'!B297+SUM('Model inputs'!P81,'Model inputs'!P82,'Model inputs'!P83)*'Model inputs'!B295</f>
        <v>1431.0330851255121</v>
      </c>
    </row>
    <row r="90">
      <c r="A90" t="inlineStr" s="37">
        <is>
          <t xml:space="preserve">Payment processing cost · Conservative</t>
        </is>
      </c>
      <c r="P90" s="8">
        <f>'Torque Plan Summary · Scenario'!C7*'Model inputs'!B298+SUM('Model inputs'!P85,'Model inputs'!P86,'Model inputs'!P87)*'Model inputs'!B296</f>
        <v>124.02496658301557</v>
      </c>
    </row>
    <row r="91">
      <c r="A91" t="inlineStr" s="37">
        <is>
          <t xml:space="preserve">Sandbox compute cost · Torque Plan Summary · Scenario comparison: month 12 (Sep 2027) · Main Scenario</t>
        </is>
      </c>
      <c r="D91" s="8">
        <v>0</v>
      </c>
      <c r="E91" s="8">
        <f>SUM('Model inputs'!E26,'Model inputs'!E27,'Model inputs'!E28)*'Model inputs'!B154</f>
        <v>10.76985</v>
      </c>
      <c r="F91" s="8">
        <f>SUM('Model inputs'!F26,'Model inputs'!F27,'Model inputs'!F28)*'Model inputs'!B154</f>
        <v>23.77791</v>
      </c>
      <c r="G91" s="8">
        <f>SUM('Model inputs'!G26,'Model inputs'!G27,'Model inputs'!G28)*'Model inputs'!B154</f>
        <v>39.605936175000004</v>
      </c>
      <c r="H91" s="8">
        <f>SUM('Model inputs'!H26,'Model inputs'!H27,'Model inputs'!H28)*'Model inputs'!B154</f>
        <v>58.979867368499995</v>
      </c>
      <c r="I91" s="8">
        <f>SUM('Model inputs'!I26,'Model inputs'!I27,'Model inputs'!I28)*'Model inputs'!B154</f>
        <v>82.80595088093249</v>
      </c>
      <c r="J91" s="8">
        <f>SUM('Model inputs'!J26,'Model inputs'!J27,'Model inputs'!J28)*'Model inputs'!B154</f>
        <v>112.2158941467174</v>
      </c>
      <c r="K91" s="8">
        <f>SUM('Model inputs'!K26,'Model inputs'!K27,'Model inputs'!K28)*'Model inputs'!B154</f>
        <v>148.6232991792593</v>
      </c>
      <c r="L91" s="8">
        <f>SUM('Model inputs'!L26,'Model inputs'!L27,'Model inputs'!L28)*'Model inputs'!B154</f>
        <v>193.7942008521885</v>
      </c>
      <c r="M91" s="8">
        <f>SUM('Model inputs'!M26,'Model inputs'!M27,'Model inputs'!M28)*'Model inputs'!B154</f>
        <v>249.93523532375931</v>
      </c>
      <c r="N91" s="8">
        <f>SUM('Model inputs'!N26,'Model inputs'!N27,'Model inputs'!N28)*'Model inputs'!B154</f>
        <v>319.80384646178527</v>
      </c>
      <c r="O91" s="8">
        <f>SUM('Model inputs'!O26,'Model inputs'!O27,'Model inputs'!O28)*'Model inputs'!B154</f>
        <v>406.84604006659777</v>
      </c>
      <c r="P91" s="8">
        <f>SUM('Model inputs'!P26,'Model inputs'!P27,'Model inputs'!P28)*'Model inputs'!B154</f>
        <v>515.3685731165224</v>
      </c>
    </row>
    <row r="92">
      <c r="A92" t="inlineStr" s="37">
        <is>
          <t xml:space="preserve">Sandbox compute cost · Optimistic</t>
        </is>
      </c>
      <c r="P92" s="8">
        <f>SUM('Model inputs'!P30,'Model inputs'!P31,'Model inputs'!P32)*'Model inputs'!B299</f>
        <v>1102.6395261834136</v>
      </c>
    </row>
    <row r="93">
      <c r="A93" t="inlineStr" s="37">
        <is>
          <t xml:space="preserve">Sandbox compute cost · Conservative</t>
        </is>
      </c>
      <c r="P93" s="8">
        <f>SUM('Model inputs'!P34,'Model inputs'!P35,'Model inputs'!P36)*'Model inputs'!B300</f>
        <v>167.9432483978366</v>
      </c>
    </row>
    <row r="94">
      <c r="A94" t="inlineStr" s="37">
        <is>
          <t xml:space="preserve">Software and tools · Torque Plan Summary · Scenario comparison: month 12 (Sep 2027) · Main Scenario</t>
        </is>
      </c>
      <c r="D94" s="8">
        <v>0</v>
      </c>
      <c r="E94" s="8">
        <f>IF('Model inputs'!B156="","",'Model inputs'!B156)</f>
        <v>200</v>
      </c>
      <c r="F94" s="8">
        <f>IF('Model inputs'!B156="","",'Model inputs'!B156)</f>
        <v>200</v>
      </c>
      <c r="G94" s="8">
        <f>IF('Model inputs'!B156="","",'Model inputs'!B156)</f>
        <v>200</v>
      </c>
      <c r="H94" s="8">
        <f>IF('Model inputs'!B156="","",'Model inputs'!B156)</f>
        <v>200</v>
      </c>
      <c r="I94" s="8">
        <f>IF('Model inputs'!B156="","",'Model inputs'!B156)</f>
        <v>200</v>
      </c>
      <c r="J94" s="8">
        <f>IF('Model inputs'!B156="","",'Model inputs'!B156)</f>
        <v>200</v>
      </c>
      <c r="K94" s="8">
        <f>IF('Model inputs'!B156="","",'Model inputs'!B156)</f>
        <v>200</v>
      </c>
      <c r="L94" s="8">
        <f>IF('Model inputs'!B156="","",'Model inputs'!B156)</f>
        <v>200</v>
      </c>
      <c r="M94" s="8">
        <f>IF('Model inputs'!B156="","",'Model inputs'!B156)</f>
        <v>200</v>
      </c>
      <c r="N94" s="8">
        <f>IF('Model inputs'!B156="","",'Model inputs'!B156)</f>
        <v>200</v>
      </c>
      <c r="O94" s="8">
        <f>IF('Model inputs'!B156="","",'Model inputs'!B156)</f>
        <v>200</v>
      </c>
      <c r="P94" s="8">
        <f>IF('Model inputs'!B156="","",'Model inputs'!B156)</f>
        <v>200</v>
      </c>
    </row>
    <row r="95">
      <c r="A95" t="inlineStr" s="37">
        <is>
          <t xml:space="preserve">Software and tools · Optimistic</t>
        </is>
      </c>
      <c r="P95" s="8">
        <f>IF('Model inputs'!B301="","",'Model inputs'!B301)</f>
        <v>200</v>
      </c>
    </row>
    <row r="96">
      <c r="A96" t="inlineStr" s="37">
        <is>
          <t xml:space="preserve">Software and tools · Conservative</t>
        </is>
      </c>
      <c r="P96" s="8">
        <f>IF('Model inputs'!B302="","",'Model inputs'!B302)</f>
        <v>200</v>
      </c>
    </row>
    <row r="97">
      <c r="A97" t="inlineStr" s="37">
        <is>
          <t xml:space="preserve">Storage cost · Torque Plan Summary · Scenario comparison: month 12 (Sep 2027) · Main Scenario</t>
        </is>
      </c>
      <c r="D97" s="8">
        <v>0</v>
      </c>
      <c r="E97" s="8">
        <f>SUM('Model inputs'!E26,'Model inputs'!E27,'Model inputs'!E28)*'Model inputs'!B158</f>
        <v>0.690375</v>
      </c>
      <c r="F97" s="8">
        <f>SUM('Model inputs'!F26,'Model inputs'!F27,'Model inputs'!F28)*'Model inputs'!B158</f>
        <v>1.524225</v>
      </c>
      <c r="G97" s="8">
        <f>SUM('Model inputs'!G26,'Model inputs'!G27,'Model inputs'!G28)*'Model inputs'!B158</f>
        <v>2.5388420625</v>
      </c>
      <c r="H97" s="8">
        <f>SUM('Model inputs'!H26,'Model inputs'!H27,'Model inputs'!H28)*'Model inputs'!B158</f>
        <v>3.78076072875</v>
      </c>
      <c r="I97" s="8">
        <f>SUM('Model inputs'!I26,'Model inputs'!I27,'Model inputs'!I28)*'Model inputs'!B158</f>
        <v>5.308073774418749</v>
      </c>
      <c r="J97" s="8">
        <f>SUM('Model inputs'!J26,'Model inputs'!J27,'Model inputs'!J28)*'Model inputs'!B158</f>
        <v>7.1933265478665</v>
      </c>
      <c r="K97" s="8">
        <f>SUM('Model inputs'!K26,'Model inputs'!K27,'Model inputs'!K28)*'Model inputs'!B158</f>
        <v>9.527134562773034</v>
      </c>
      <c r="L97" s="8">
        <f>SUM('Model inputs'!L26,'Model inputs'!L27,'Model inputs'!L28)*'Model inputs'!B158</f>
        <v>12.422705182832598</v>
      </c>
      <c r="M97" s="8">
        <f>SUM('Model inputs'!M26,'Model inputs'!M27,'Model inputs'!M28)*'Model inputs'!B158</f>
        <v>16.021489443830728</v>
      </c>
      <c r="N97" s="8">
        <f>SUM('Model inputs'!N26,'Model inputs'!N27,'Model inputs'!N28)*'Model inputs'!B158</f>
        <v>20.500246568063158</v>
      </c>
      <c r="O97" s="8">
        <f>SUM('Model inputs'!O26,'Model inputs'!O27,'Model inputs'!O28)*'Model inputs'!B158</f>
        <v>26.079874363243448</v>
      </c>
      <c r="P97" s="8">
        <f>SUM('Model inputs'!P26,'Model inputs'!P27,'Model inputs'!P28)*'Model inputs'!B158</f>
        <v>33.03644699464887</v>
      </c>
    </row>
    <row r="98">
      <c r="A98" t="inlineStr" s="37">
        <is>
          <t xml:space="preserve">Storage cost · Optimistic</t>
        </is>
      </c>
      <c r="P98" s="8">
        <f>SUM('Model inputs'!P30,'Model inputs'!P31,'Model inputs'!P32)*'Model inputs'!B303</f>
        <v>76.57218931829263</v>
      </c>
    </row>
    <row r="99">
      <c r="A99" t="inlineStr" s="37">
        <is>
          <t xml:space="preserve">Storage cost · Conservative</t>
        </is>
      </c>
      <c r="P99" s="8">
        <f>SUM('Model inputs'!P34,'Model inputs'!P35,'Model inputs'!P36)*'Model inputs'!B304</f>
        <v>9.651910827461874</v>
      </c>
    </row>
    <row r="100">
      <c r="A100" t="inlineStr" s="37">
        <is>
          <t xml:space="preserve">Subscription revenue</t>
        </is>
      </c>
      <c r="D100" s="6">
        <f>SUM('Model inputs'!D101,'Model inputs'!D102,'Model inputs'!D103)</f>
        <v>0</v>
      </c>
      <c r="E100" s="6">
        <f>SUM('Model inputs'!E101,'Model inputs'!E102,'Model inputs'!E103)</f>
        <v>327</v>
      </c>
      <c r="F100" s="6">
        <f>SUM('Model inputs'!F101,'Model inputs'!F102,'Model inputs'!F103)</f>
        <v>721.6859999999999</v>
      </c>
      <c r="G100" s="6">
        <f>SUM('Model inputs'!G101,'Model inputs'!G102,'Model inputs'!G103)</f>
        <v>1201.6793699999998</v>
      </c>
      <c r="H100" s="6">
        <f>SUM('Model inputs'!H101,'Model inputs'!H102,'Model inputs'!H103)</f>
        <v>1788.9667089</v>
      </c>
      <c r="I100" s="6">
        <f>SUM('Model inputs'!I101,'Model inputs'!I102,'Model inputs'!I103)</f>
        <v>2510.993728608</v>
      </c>
      <c r="J100" s="6">
        <f>SUM('Model inputs'!J101,'Model inputs'!J102,'Model inputs'!J103)</f>
        <v>3402.03242978676</v>
      </c>
      <c r="K100" s="6">
        <f>SUM('Model inputs'!K101,'Model inputs'!K102,'Model inputs'!K103)</f>
        <v>4504.889905307385</v>
      </c>
      <c r="L100" s="6">
        <f>SUM('Model inputs'!L101,'Model inputs'!L102,'Model inputs'!L103)</f>
        <v>5873.044190497414</v>
      </c>
      <c r="M100" s="6">
        <f>SUM('Model inputs'!M101,'Model inputs'!M102,'Model inputs'!M103)</f>
        <v>7573.3139331227885</v>
      </c>
      <c r="N100" s="6">
        <f>SUM('Model inputs'!N101,'Model inputs'!N102,'Model inputs'!N103)</f>
        <v>9689.195348428751</v>
      </c>
      <c r="O100" s="6">
        <f>SUM('Model inputs'!O101,'Model inputs'!O102,'Model inputs'!O103)</f>
        <v>12325.033290112482</v>
      </c>
      <c r="P100" s="6">
        <f>SUM('Model inputs'!P101,'Model inputs'!P102,'Model inputs'!P103)</f>
        <v>15611.234975095236</v>
      </c>
    </row>
    <row r="101" outlineLevel="1">
      <c r="A101" t="inlineStr" s="38">
        <is>
          <t xml:space="preserve">Subscription revenue &gt; Maintainer</t>
        </is>
      </c>
      <c r="D101" s="8">
        <f>0</f>
        <v>0</v>
      </c>
      <c r="E101" s="8">
        <f>'Model inputs'!E77*'Model inputs'!B176</f>
        <v>43.5</v>
      </c>
      <c r="F101" s="8">
        <f>'Model inputs'!F77*'Model inputs'!B176</f>
        <v>94.395</v>
      </c>
      <c r="G101" s="8">
        <f>'Model inputs'!G77*'Model inputs'!B176</f>
        <v>154.81215</v>
      </c>
      <c r="H101" s="8">
        <f>'Model inputs'!H77*'Model inputs'!B176</f>
        <v>227.3881155</v>
      </c>
      <c r="I101" s="8">
        <f>'Model inputs'!I77*'Model inputs'!B176</f>
        <v>315.398238135</v>
      </c>
      <c r="J101" s="8">
        <f>'Model inputs'!J77*'Model inputs'!B176</f>
        <v>422.91784392795006</v>
      </c>
      <c r="K101" s="8">
        <f>'Model inputs'!K77*'Model inputs'!B176</f>
        <v>555.0237474684016</v>
      </c>
      <c r="L101" s="8">
        <f>'Model inputs'!L77*'Model inputs'!B176</f>
        <v>718.0460114892888</v>
      </c>
      <c r="M101" s="8">
        <f>'Model inputs'!M77*'Model inputs'!B176</f>
        <v>919.882535343095</v>
      </c>
      <c r="N101" s="8">
        <f>'Model inputs'!N77*'Model inputs'!B176</f>
        <v>1170.392188481834</v>
      </c>
      <c r="O101" s="8">
        <f>'Model inputs'!O77*'Model inputs'!B176</f>
        <v>1481.8861333610205</v>
      </c>
      <c r="P101" s="8">
        <f>'Model inputs'!P77*'Model inputs'!B176</f>
        <v>1869.7418926393057</v>
      </c>
    </row>
    <row r="102" outlineLevel="1">
      <c r="A102" t="inlineStr" s="38">
        <is>
          <t xml:space="preserve">Subscription revenue &gt; Starter</t>
        </is>
      </c>
      <c r="D102" s="8">
        <f>0</f>
        <v>0</v>
      </c>
      <c r="E102" s="8">
        <f>'Model inputs'!E78*'Model inputs'!B177</f>
        <v>103.94999999999999</v>
      </c>
      <c r="F102" s="8">
        <f>'Model inputs'!F78*'Model inputs'!B177</f>
        <v>228.68999999999997</v>
      </c>
      <c r="G102" s="8">
        <f>'Model inputs'!G78*'Model inputs'!B177</f>
        <v>379.677375</v>
      </c>
      <c r="H102" s="8">
        <f>'Model inputs'!H78*'Model inputs'!B177</f>
        <v>563.7208499999999</v>
      </c>
      <c r="I102" s="8">
        <f>'Model inputs'!I78*'Model inputs'!B177</f>
        <v>789.3189871874999</v>
      </c>
      <c r="J102" s="8">
        <f>'Model inputs'!J78*'Model inputs'!B177</f>
        <v>1067.0832624375</v>
      </c>
      <c r="K102" s="8">
        <f>'Model inputs'!K78*'Model inputs'!B177</f>
        <v>1410.2668800773436</v>
      </c>
      <c r="L102" s="8">
        <f>'Model inputs'!L78*'Model inputs'!B177</f>
        <v>1835.4257620256249</v>
      </c>
      <c r="M102" s="8">
        <f>'Model inputs'!M78*'Model inputs'!B177</f>
        <v>2363.244756364529</v>
      </c>
      <c r="N102" s="8">
        <f>'Model inputs'!N78*'Model inputs'!B177</f>
        <v>3019.5703715965346</v>
      </c>
      <c r="O102" s="8">
        <f>'Model inputs'!O78*'Model inputs'!B177</f>
        <v>3836.7016693294972</v>
      </c>
      <c r="P102" s="8">
        <f>'Model inputs'!P78*'Model inputs'!B177</f>
        <v>4855.00385625401</v>
      </c>
    </row>
    <row r="103" outlineLevel="1">
      <c r="A103" t="inlineStr" s="38">
        <is>
          <t xml:space="preserve">Subscription revenue &gt; Team</t>
        </is>
      </c>
      <c r="D103" s="8">
        <f>0</f>
        <v>0</v>
      </c>
      <c r="E103" s="8">
        <f>'Model inputs'!E79*'Model inputs'!B178</f>
        <v>179.54999999999998</v>
      </c>
      <c r="F103" s="8">
        <f>'Model inputs'!F79*'Model inputs'!B178</f>
        <v>398.60099999999994</v>
      </c>
      <c r="G103" s="8">
        <f>'Model inputs'!G79*'Model inputs'!B178</f>
        <v>667.189845</v>
      </c>
      <c r="H103" s="8">
        <f>'Model inputs'!H79*'Model inputs'!B178</f>
        <v>997.8577434</v>
      </c>
      <c r="I103" s="8">
        <f>'Model inputs'!I79*'Model inputs'!B178</f>
        <v>1406.2765032855</v>
      </c>
      <c r="J103" s="8">
        <f>'Model inputs'!J79*'Model inputs'!B178</f>
        <v>1912.0313234213102</v>
      </c>
      <c r="K103" s="8">
        <f>'Model inputs'!K79*'Model inputs'!B178</f>
        <v>2539.5992777616393</v>
      </c>
      <c r="L103" s="8">
        <f>'Model inputs'!L79*'Model inputs'!B178</f>
        <v>3319.5724169825007</v>
      </c>
      <c r="M103" s="8">
        <f>'Model inputs'!M79*'Model inputs'!B178</f>
        <v>4290.186641415165</v>
      </c>
      <c r="N103" s="8">
        <f>'Model inputs'!N79*'Model inputs'!B178</f>
        <v>5499.232788350383</v>
      </c>
      <c r="O103" s="8">
        <f>'Model inputs'!O79*'Model inputs'!B178</f>
        <v>7006.445487421964</v>
      </c>
      <c r="P103" s="8">
        <f>'Model inputs'!P79*'Model inputs'!B178</f>
        <v>8886.48922620192</v>
      </c>
    </row>
    <row r="104">
      <c r="A104" t="inlineStr" s="37">
        <is>
          <t xml:space="preserve">Subscription revenue</t>
        </is>
      </c>
      <c r="P104" s="6">
        <f>SUM('Model inputs'!P105,'Model inputs'!P106,'Model inputs'!P107)</f>
        <v>42524.076451897905</v>
      </c>
    </row>
    <row r="105" outlineLevel="1">
      <c r="A105" t="inlineStr" s="38">
        <is>
          <t xml:space="preserve">Subscription revenue &gt; Maintainer</t>
        </is>
      </c>
      <c r="P105" s="8">
        <f>'Model inputs'!P81*'Model inputs'!B246</f>
        <v>5247.973999400849</v>
      </c>
    </row>
    <row r="106" outlineLevel="1">
      <c r="A106" t="inlineStr" s="38">
        <is>
          <t xml:space="preserve">Subscription revenue &gt; Starter</t>
        </is>
      </c>
      <c r="P106" s="8">
        <f>'Model inputs'!P82*'Model inputs'!B247</f>
        <v>13338.015951378162</v>
      </c>
    </row>
    <row r="107" outlineLevel="1">
      <c r="A107" t="inlineStr" s="38">
        <is>
          <t xml:space="preserve">Subscription revenue &gt; Team</t>
        </is>
      </c>
      <c r="P107" s="8">
        <f>'Model inputs'!P83*'Model inputs'!B248</f>
        <v>23938.086501118894</v>
      </c>
    </row>
    <row r="108">
      <c r="A108" t="inlineStr" s="37">
        <is>
          <t xml:space="preserve">Subscription revenue</t>
        </is>
      </c>
      <c r="P108" s="6">
        <f>SUM('Model inputs'!P109,'Model inputs'!P110,'Model inputs'!P111)</f>
        <v>3698.613844767735</v>
      </c>
    </row>
    <row r="109" outlineLevel="1">
      <c r="A109" t="inlineStr" s="38">
        <is>
          <t xml:space="preserve">Subscription revenue &gt; Maintainer</t>
        </is>
      </c>
      <c r="P109" s="8">
        <f>'Model inputs'!P85*'Model inputs'!B250</f>
        <v>413.6188598330799</v>
      </c>
    </row>
    <row r="110" outlineLevel="1">
      <c r="A110" t="inlineStr" s="38">
        <is>
          <t xml:space="preserve">Subscription revenue &gt; Starter</t>
        </is>
      </c>
      <c r="P110" s="8">
        <f>'Model inputs'!P86*'Model inputs'!B251</f>
        <v>1125.955603189711</v>
      </c>
    </row>
    <row r="111" outlineLevel="1">
      <c r="A111" t="inlineStr" s="38">
        <is>
          <t xml:space="preserve">Subscription revenue &gt; Team</t>
        </is>
      </c>
      <c r="P111" s="8">
        <f>'Model inputs'!P87*'Model inputs'!B252</f>
        <v>2159.039381744944</v>
      </c>
    </row>
    <row r="112">
      <c r="A112" t="inlineStr" s="37">
        <is>
          <t xml:space="preserve">Target gross margin · Torque Plan Summary · Scenario comparison: month 12 (Sep 2027) · Main Scenario</t>
        </is>
      </c>
      <c r="B112" s="8">
        <f>'Torque Assumptions · Growth &amp; o'!B12</f>
        <v>0.65</v>
      </c>
    </row>
    <row r="113">
      <c r="A113" t="inlineStr" s="37">
        <is>
          <t xml:space="preserve">Target gross margin · Unit Economics &amp; Sensitivity · Unit economics per issue run · Main Scenario</t>
        </is>
      </c>
      <c r="C113" s="8">
        <f>'Torque Assumptions · Growth &amp; o'!B12</f>
        <v>0.65</v>
      </c>
    </row>
    <row r="114">
      <c r="A114" t="inlineStr" s="37">
        <is>
          <t xml:space="preserve">Target gross margin · Optimistic</t>
        </is>
      </c>
      <c r="B114" s="8">
        <f>'Torque Assumptions · Growth &amp; o'!B12</f>
        <v>0.65</v>
      </c>
    </row>
    <row r="115">
      <c r="A115" t="inlineStr" s="37">
        <is>
          <t xml:space="preserve">Target gross margin · Conservative</t>
        </is>
      </c>
      <c r="B115" s="8">
        <f>'Torque Assumptions · Growth &amp; o'!B12</f>
        <v>0.65</v>
      </c>
    </row>
    <row r="116">
      <c r="A116" t="inlineStr" s="37">
        <is>
          <t xml:space="preserve">Team expenses · Torque Plan Summary · Scenario comparison: month 12 (Sep 2027) · Main Scenario</t>
        </is>
      </c>
      <c r="D116" s="8">
        <v>0</v>
      </c>
      <c r="E116" s="8">
        <f>IF('Model inputs'!B160="","",'Model inputs'!B160)</f>
        <v>0</v>
      </c>
      <c r="F116" s="8">
        <f>IF('Model inputs'!B160="","",'Model inputs'!B160)</f>
        <v>0</v>
      </c>
      <c r="G116" s="8">
        <f>IF('Model inputs'!B160="","",'Model inputs'!B160)</f>
        <v>0</v>
      </c>
      <c r="H116" s="8">
        <f>IF('Model inputs'!B160="","",'Model inputs'!B160)</f>
        <v>0</v>
      </c>
      <c r="I116" s="8">
        <f>IF('Model inputs'!B160="","",'Model inputs'!B160)</f>
        <v>0</v>
      </c>
      <c r="J116" s="8">
        <f>IF('Model inputs'!B160="","",'Model inputs'!B160)</f>
        <v>0</v>
      </c>
      <c r="K116" s="8">
        <f>IF('Model inputs'!B160="","",'Model inputs'!B160)</f>
        <v>0</v>
      </c>
      <c r="L116" s="8">
        <f>IF('Model inputs'!B160="","",'Model inputs'!B160)</f>
        <v>0</v>
      </c>
      <c r="M116" s="8">
        <f>IF('Model inputs'!B160="","",'Model inputs'!B160)</f>
        <v>0</v>
      </c>
      <c r="N116" s="8">
        <f>IF('Model inputs'!B160="","",'Model inputs'!B160)</f>
        <v>0</v>
      </c>
      <c r="O116" s="8">
        <f>IF('Model inputs'!B160="","",'Model inputs'!B160)</f>
        <v>0</v>
      </c>
      <c r="P116" s="8">
        <f>IF('Model inputs'!B160="","",'Model inputs'!B160)</f>
        <v>0</v>
      </c>
    </row>
    <row r="117">
      <c r="A117" t="inlineStr" s="37">
        <is>
          <t xml:space="preserve">Team expenses · Optimistic</t>
        </is>
      </c>
      <c r="P117" s="8">
        <f>IF('Model inputs'!B305="","",'Model inputs'!B305)</f>
        <v>0</v>
      </c>
    </row>
    <row r="118">
      <c r="A118" t="inlineStr" s="37">
        <is>
          <t xml:space="preserve">Team expenses · Conservative</t>
        </is>
      </c>
      <c r="P118" s="8">
        <f>IF('Model inputs'!B306="","",'Model inputs'!B306)</f>
        <v>0</v>
      </c>
    </row>
    <row r="119">
      <c r="A119" t="inlineStr" s="37">
        <is>
          <t xml:space="preserve">Tooling and storage cost per run · Unit Economics &amp; Sensitivity · Unit economics per issue run</t>
        </is>
      </c>
      <c r="C119" s="8">
        <f>'Model inputs'!B162+'Model inputs'!B126+'Model inputs'!B158</f>
        <v>0.025</v>
      </c>
    </row>
    <row r="120">
      <c r="A120" t="inlineStr" s="37">
        <is>
          <t xml:space="preserve">Tooling and storage cost per run · Unit Economics &amp; Sensitivity · Sensitivity: cost and margin stress tests</t>
        </is>
      </c>
      <c r="B120" s="8">
        <f>'Model inputs'!B162+'Model inputs'!B126+'Model inputs'!B158</f>
        <v>0.025</v>
      </c>
    </row>
    <row r="121">
      <c r="A121" t="inlineStr" s="37">
        <is>
          <t xml:space="preserve">Total revenue · Torque Plan Summary · Scenario comparison: month 12 (Sep 2027)</t>
        </is>
      </c>
      <c r="D121" s="8">
        <v>0</v>
      </c>
      <c r="E121" s="8">
        <f>SUM('Model inputs'!E101,'Model inputs'!E102,'Model inputs'!E103)+SUM('Model inputs'!E65,'Model inputs'!E66,'Model inputs'!E67)</f>
        <v>349.4625</v>
      </c>
      <c r="F121" s="8">
        <f>SUM('Model inputs'!F101,'Model inputs'!F102,'Model inputs'!F103)+SUM('Model inputs'!F65,'Model inputs'!F66,'Model inputs'!F67)</f>
        <v>771.31725</v>
      </c>
      <c r="G121" s="8">
        <f>SUM('Model inputs'!G101,'Model inputs'!G102,'Model inputs'!G103)+SUM('Model inputs'!G65,'Model inputs'!G66,'Model inputs'!G67)</f>
        <v>1284.4040512499998</v>
      </c>
      <c r="H121" s="8">
        <f>SUM('Model inputs'!H101,'Model inputs'!H102,'Model inputs'!H103)+SUM('Model inputs'!H65,'Model inputs'!H66,'Model inputs'!H67)</f>
        <v>1912.230331275</v>
      </c>
      <c r="I121" s="8">
        <f>SUM('Model inputs'!I101,'Model inputs'!I102,'Model inputs'!I103)+SUM('Model inputs'!I65,'Model inputs'!I66,'Model inputs'!I67)</f>
        <v>2684.140759358625</v>
      </c>
      <c r="J121" s="8">
        <f>SUM('Model inputs'!J101,'Model inputs'!J102,'Model inputs'!J103)+SUM('Model inputs'!J65,'Model inputs'!J66,'Model inputs'!J67)</f>
        <v>3636.7790778225226</v>
      </c>
      <c r="K121" s="8">
        <f>SUM('Model inputs'!K101,'Model inputs'!K102,'Model inputs'!K103)+SUM('Model inputs'!K65,'Model inputs'!K66,'Model inputs'!K67)</f>
        <v>4815.915216820954</v>
      </c>
      <c r="L121" s="8">
        <f>SUM('Model inputs'!L101,'Model inputs'!L102,'Model inputs'!L103)+SUM('Model inputs'!L65,'Model inputs'!L66,'Model inputs'!L67)</f>
        <v>6278.729026257304</v>
      </c>
      <c r="M121" s="8">
        <f>SUM('Model inputs'!M101,'Model inputs'!M102,'Model inputs'!M103)+SUM('Model inputs'!M65,'Model inputs'!M66,'Model inputs'!M67)</f>
        <v>8096.664790868954</v>
      </c>
      <c r="N121" s="8">
        <f>SUM('Model inputs'!N101,'Model inputs'!N102,'Model inputs'!N103)+SUM('Model inputs'!N65,'Model inputs'!N66,'Model inputs'!N67)</f>
        <v>10358.99923515088</v>
      </c>
      <c r="O121" s="8">
        <f>SUM('Model inputs'!O101,'Model inputs'!O102,'Model inputs'!O103)+SUM('Model inputs'!O65,'Model inputs'!O66,'Model inputs'!O67)</f>
        <v>13177.301400636745</v>
      </c>
      <c r="P121" s="8">
        <f>SUM('Model inputs'!P101,'Model inputs'!P102,'Model inputs'!P103)+SUM('Model inputs'!P65,'Model inputs'!P66,'Model inputs'!P67)</f>
        <v>16691.007372929802</v>
      </c>
    </row>
    <row r="122">
      <c r="A122" t="inlineStr" s="37">
        <is>
          <t xml:space="preserve">Verified success rate · Torque Plan Summary · Scenario comparison: month 12 (Sep 2027) · Main Scenario</t>
        </is>
      </c>
      <c r="B122" s="8">
        <f>'Torque Assumptions · Run cost a'!B17</f>
        <v>0.6</v>
      </c>
    </row>
    <row r="123">
      <c r="A123" t="inlineStr" s="37">
        <is>
          <t xml:space="preserve">Verified success rate · Unit Economics &amp; Sensitivity · Unit economics per issue run · Main Scenario</t>
        </is>
      </c>
      <c r="C123" s="8">
        <f>'Torque Assumptions · Run cost a'!B17</f>
        <v>0.6</v>
      </c>
    </row>
    <row r="124">
      <c r="A124" t="inlineStr" s="37">
        <is>
          <t xml:space="preserve">Verified success rate · Optimistic</t>
        </is>
      </c>
      <c r="B124" s="8">
        <f>0.7</f>
        <v>0.7</v>
      </c>
    </row>
    <row r="125">
      <c r="A125" t="inlineStr" s="37">
        <is>
          <t xml:space="preserve">Verified success rate · Conservative</t>
        </is>
      </c>
      <c r="B125" s="8">
        <f>0.45</f>
        <v>0.45</v>
      </c>
    </row>
    <row r="126">
      <c r="A126" t="inlineStr" s="37">
        <is>
          <t xml:space="preserve">Context and checkpoint cost per run Entire · Monthly Financial Plan · Torque monthly financial plan</t>
        </is>
      </c>
      <c r="B126" s="8">
        <f>'Torque Assumptions · Run cost a'!B15</f>
        <v>0.01</v>
      </c>
    </row>
    <row r="127">
      <c r="A127" t="inlineStr" s="37">
        <is>
          <t xml:space="preserve">Context and checkpoint cost per run Entire · Unit Economics &amp; Sensitivity · Unit economics per issue run</t>
        </is>
      </c>
      <c r="C127" s="8">
        <f>'Torque Assumptions · Run cost a'!B15</f>
        <v>0.01</v>
      </c>
    </row>
    <row r="128">
      <c r="A128" t="inlineStr" s="37">
        <is>
          <t xml:space="preserve">Expected runs per customer</t>
        </is>
      </c>
      <c r="B128" s="6">
        <f>'Model inputs'!B169*'Model inputs'!B164+'Model inputs'!B183</f>
        <v>0</v>
      </c>
    </row>
    <row r="129" outlineLevel="1">
      <c r="A129" t="inlineStr" s="38">
        <is>
          <t xml:space="preserve">Expected runs per customer &gt; Maintainer</t>
        </is>
      </c>
      <c r="B129" s="8">
        <f>'Model inputs'!B170*'Model inputs'!B165+'Model inputs'!B184</f>
        <v>11.5</v>
      </c>
    </row>
    <row r="130" outlineLevel="1">
      <c r="A130" t="inlineStr" s="38">
        <is>
          <t xml:space="preserve">Expected runs per customer &gt; Starter</t>
        </is>
      </c>
      <c r="B130" s="8">
        <f>'Model inputs'!B171*'Model inputs'!B166+'Model inputs'!B185</f>
        <v>39</v>
      </c>
    </row>
    <row r="131" outlineLevel="1">
      <c r="A131" t="inlineStr" s="38">
        <is>
          <t xml:space="preserve">Expected runs per customer &gt; Team</t>
        </is>
      </c>
      <c r="B131" s="8">
        <f>'Model inputs'!B172*'Model inputs'!B167+'Model inputs'!B186</f>
        <v>177.5</v>
      </c>
    </row>
    <row r="132">
      <c r="A132" t="inlineStr" s="37">
        <is>
          <t xml:space="preserve">Fixed hosting per month · Monthly Financial Plan · Torque monthly financial plan</t>
        </is>
      </c>
      <c r="B132" s="8">
        <f>'Torque Assumptions · Growth &amp; o'!B7</f>
        <v>150</v>
      </c>
    </row>
    <row r="133">
      <c r="A133" t="inlineStr" s="37">
        <is>
          <t xml:space="preserve">Fixed hosting per month · Unit Economics &amp; Sensitivity · Unit economics per issue run</t>
        </is>
      </c>
      <c r="C133" s="8">
        <f>'Torque Assumptions · Growth &amp; o'!B7</f>
        <v>150</v>
      </c>
    </row>
    <row r="134">
      <c r="A134" t="inlineStr" s="37">
        <is>
          <t xml:space="preserve">Full allowance runs per customer</t>
        </is>
      </c>
      <c r="B134" s="6">
        <f>'Model inputs'!B169+'Model inputs'!B183</f>
        <v>0</v>
      </c>
    </row>
    <row r="135" outlineLevel="1">
      <c r="A135" t="inlineStr" s="38">
        <is>
          <t xml:space="preserve">Full allowance runs per customer &gt; Maintainer</t>
        </is>
      </c>
      <c r="B135" s="8">
        <f>'Model inputs'!B170+'Model inputs'!B184</f>
        <v>20.5</v>
      </c>
    </row>
    <row r="136" outlineLevel="1">
      <c r="A136" t="inlineStr" s="38">
        <is>
          <t xml:space="preserve">Full allowance runs per customer &gt; Starter</t>
        </is>
      </c>
      <c r="B136" s="8">
        <f>'Model inputs'!B171+'Model inputs'!B185</f>
        <v>63</v>
      </c>
    </row>
    <row r="137" outlineLevel="1">
      <c r="A137" t="inlineStr" s="38">
        <is>
          <t xml:space="preserve">Full allowance runs per customer &gt; Team</t>
        </is>
      </c>
      <c r="B137" s="8">
        <f>'Model inputs'!B172+'Model inputs'!B186</f>
        <v>265</v>
      </c>
    </row>
    <row r="138">
      <c r="A138" t="inlineStr" s="37">
        <is>
          <t xml:space="preserve">LLM cost per run · Monthly Financial Plan · Torque monthly financial plan</t>
        </is>
      </c>
      <c r="B138" s="8">
        <f>'Model inputs'!C173*'Model inputs'!C168</f>
        <v>0.9750000000000001</v>
      </c>
    </row>
    <row r="139">
      <c r="A139" t="inlineStr" s="37">
        <is>
          <t xml:space="preserve">LLM cost per run · Unit Economics &amp; Sensitivity · Unit economics per issue run</t>
        </is>
      </c>
      <c r="C139" s="8">
        <f>'Model inputs'!C173*'Model inputs'!C168</f>
        <v>0.9750000000000001</v>
      </c>
    </row>
    <row r="140">
      <c r="A140" t="inlineStr" s="37">
        <is>
          <t xml:space="preserve">Marketing per month · Monthly Financial Plan · Torque monthly financial plan</t>
        </is>
      </c>
      <c r="B140" s="8">
        <f>'Torque Assumptions · Growth &amp; o'!B9</f>
        <v>500</v>
      </c>
    </row>
    <row r="141">
      <c r="A141" t="inlineStr" s="37">
        <is>
          <t xml:space="preserve">Marketing per month · Unit Economics &amp; Sensitivity · Unit economics per issue run</t>
        </is>
      </c>
      <c r="C141" s="8">
        <f>'Torque Assumptions · Growth &amp; o'!B9</f>
        <v>500</v>
      </c>
    </row>
    <row r="142">
      <c r="A142" t="inlineStr" s="37">
        <is>
          <t xml:space="preserve">New customer mix</t>
        </is>
      </c>
      <c r="B142" s="6">
        <v>0</v>
      </c>
    </row>
    <row r="143" outlineLevel="1">
      <c r="A143" t="inlineStr" s="38">
        <is>
          <t xml:space="preserve">New customer mix &gt; Maintainer</t>
        </is>
      </c>
      <c r="B143" s="8">
        <f>'Torque Assumptions · Tier prici'!G5</f>
        <v>0.5</v>
      </c>
    </row>
    <row r="144" outlineLevel="1">
      <c r="A144" t="inlineStr" s="38">
        <is>
          <t xml:space="preserve">New customer mix &gt; Starter</t>
        </is>
      </c>
      <c r="B144" s="8">
        <f>'Torque Assumptions · Tier prici'!G6</f>
        <v>0.35</v>
      </c>
    </row>
    <row r="145" outlineLevel="1">
      <c r="A145" t="inlineStr" s="38">
        <is>
          <t xml:space="preserve">New customer mix &gt; Team</t>
        </is>
      </c>
      <c r="B145" s="8">
        <f>'Torque Assumptions · Tier prici'!G7</f>
        <v>0.15</v>
      </c>
    </row>
    <row r="146">
      <c r="A146" t="inlineStr" s="37">
        <is>
          <t xml:space="preserve">Payment fee per charge · Monthly Financial Plan · Torque monthly financial plan</t>
        </is>
      </c>
      <c r="B146" s="8">
        <f>'Torque Assumptions · Growth &amp; o'!B14</f>
        <v>0.3</v>
      </c>
    </row>
    <row r="147">
      <c r="A147" t="inlineStr" s="37">
        <is>
          <t xml:space="preserve">Payment fee per charge · Unit Economics &amp; Sensitivity · Unit economics per issue run</t>
        </is>
      </c>
      <c r="C147" s="8">
        <f>'Torque Assumptions · Growth &amp; o'!B14</f>
        <v>0.3</v>
      </c>
    </row>
    <row r="148">
      <c r="A148" t="inlineStr" s="37">
        <is>
          <t xml:space="preserve">Payment processing rate · Monthly Financial Plan · Torque monthly financial plan</t>
        </is>
      </c>
      <c r="B148" s="8">
        <f>'Torque Assumptions · Growth &amp; o'!B13</f>
        <v>0.029</v>
      </c>
    </row>
    <row r="149">
      <c r="A149" t="inlineStr" s="37">
        <is>
          <t xml:space="preserve">Payment processing rate · Unit Economics &amp; Sensitivity · Unit economics per issue run</t>
        </is>
      </c>
      <c r="C149" s="8">
        <f>'Torque Assumptions · Growth &amp; o'!B13</f>
        <v>0.029</v>
      </c>
    </row>
    <row r="150">
      <c r="A150" t="inlineStr" s="37">
        <is>
          <t xml:space="preserve">Revenue per customer</t>
        </is>
      </c>
      <c r="B150" s="6">
        <f>'Model inputs'!B175+'Model inputs'!B183*'Model inputs'!B179</f>
        <v>0</v>
      </c>
    </row>
    <row r="151" outlineLevel="1">
      <c r="A151" t="inlineStr" s="38">
        <is>
          <t xml:space="preserve">Revenue per customer &gt; Maintainer</t>
        </is>
      </c>
      <c r="B151" s="8">
        <f>'Model inputs'!B176+'Model inputs'!B184*'Model inputs'!B180</f>
        <v>30.25</v>
      </c>
    </row>
    <row r="152" outlineLevel="1">
      <c r="A152" t="inlineStr" s="38">
        <is>
          <t xml:space="preserve">Revenue per customer &gt; Starter</t>
        </is>
      </c>
      <c r="B152" s="8">
        <f>'Model inputs'!B177+'Model inputs'!B185*'Model inputs'!B181</f>
        <v>105.75</v>
      </c>
    </row>
    <row r="153" outlineLevel="1">
      <c r="A153" t="inlineStr" s="38">
        <is>
          <t xml:space="preserve">Revenue per customer &gt; Team</t>
        </is>
      </c>
      <c r="B153" s="8">
        <f>'Model inputs'!B178+'Model inputs'!B186*'Model inputs'!B182</f>
        <v>429</v>
      </c>
    </row>
    <row r="154">
      <c r="A154" t="inlineStr" s="37">
        <is>
          <t xml:space="preserve">Sandbox cost per run · Monthly Financial Plan · Torque monthly financial plan</t>
        </is>
      </c>
      <c r="B154" s="8">
        <f>'Model inputs'!C187*'Model inputs'!C168</f>
        <v>0.078</v>
      </c>
    </row>
    <row r="155">
      <c r="A155" t="inlineStr" s="37">
        <is>
          <t xml:space="preserve">Sandbox cost per run · Unit Economics &amp; Sensitivity · Unit economics per issue run</t>
        </is>
      </c>
      <c r="C155" s="8">
        <f>'Model inputs'!C187*'Model inputs'!C168</f>
        <v>0.078</v>
      </c>
    </row>
    <row r="156">
      <c r="A156" t="inlineStr" s="37">
        <is>
          <t xml:space="preserve">Software and tools per month · Monthly Financial Plan · Torque monthly financial plan</t>
        </is>
      </c>
      <c r="B156" s="8">
        <f>'Torque Assumptions · Growth &amp; o'!B8</f>
        <v>200</v>
      </c>
    </row>
    <row r="157">
      <c r="A157" t="inlineStr" s="37">
        <is>
          <t xml:space="preserve">Software and tools per month · Unit Economics &amp; Sensitivity · Unit economics per issue run</t>
        </is>
      </c>
      <c r="C157" s="8">
        <f>'Torque Assumptions · Growth &amp; o'!B8</f>
        <v>200</v>
      </c>
    </row>
    <row r="158">
      <c r="A158" t="inlineStr" s="37">
        <is>
          <t xml:space="preserve">Storage cost per run · Monthly Financial Plan · Torque monthly financial plan</t>
        </is>
      </c>
      <c r="B158" s="8">
        <f>'Torque Assumptions · Run cost a'!B16</f>
        <v>0.005</v>
      </c>
    </row>
    <row r="159">
      <c r="A159" t="inlineStr" s="37">
        <is>
          <t xml:space="preserve">Storage cost per run · Unit Economics &amp; Sensitivity · Unit economics per issue run</t>
        </is>
      </c>
      <c r="C159" s="8">
        <f>'Torque Assumptions · Run cost a'!B16</f>
        <v>0.005</v>
      </c>
    </row>
    <row r="160">
      <c r="A160" t="inlineStr" s="37">
        <is>
          <t xml:space="preserve">Team expenses per month · Monthly Financial Plan · Torque monthly financial plan</t>
        </is>
      </c>
      <c r="B160" s="8">
        <f>'Torque Assumptions · Growth &amp; o'!B10</f>
        <v>0</v>
      </c>
    </row>
    <row r="161">
      <c r="A161" t="inlineStr" s="37">
        <is>
          <t xml:space="preserve">Team expenses per month · Unit Economics &amp; Sensitivity · Unit economics per issue run</t>
        </is>
      </c>
      <c r="C161" s="8">
        <f>'Torque Assumptions · Growth &amp; o'!B10</f>
        <v>0</v>
      </c>
    </row>
    <row r="162">
      <c r="A162" t="inlineStr" s="37">
        <is>
          <t xml:space="preserve">Tracing cost per run neatlogs · Monthly Financial Plan · Torque monthly financial plan</t>
        </is>
      </c>
      <c r="B162" s="8">
        <f>'Torque Assumptions · Run cost a'!B14</f>
        <v>0.01</v>
      </c>
    </row>
    <row r="163">
      <c r="A163" t="inlineStr" s="37">
        <is>
          <t xml:space="preserve">Tracing cost per run neatlogs · Unit Economics &amp; Sensitivity · Unit economics per issue run</t>
        </is>
      </c>
      <c r="C163" s="8">
        <f>'Torque Assumptions · Run cost a'!B14</f>
        <v>0.01</v>
      </c>
    </row>
    <row r="164">
      <c r="A164" t="inlineStr" s="37">
        <is>
          <t xml:space="preserve">Allowance used</t>
        </is>
      </c>
      <c r="B164" s="6">
        <v>0</v>
      </c>
    </row>
    <row r="165" outlineLevel="1">
      <c r="A165" t="inlineStr" s="38">
        <is>
          <t xml:space="preserve">Allowance used &gt; Maintainer</t>
        </is>
      </c>
      <c r="B165" s="8">
        <f>'Torque Assumptions · Tier prici'!E5</f>
        <v>0.55</v>
      </c>
    </row>
    <row r="166" outlineLevel="1">
      <c r="A166" t="inlineStr" s="38">
        <is>
          <t xml:space="preserve">Allowance used &gt; Starter</t>
        </is>
      </c>
      <c r="B166" s="8">
        <f>'Torque Assumptions · Tier prici'!E6</f>
        <v>0.6</v>
      </c>
    </row>
    <row r="167" outlineLevel="1">
      <c r="A167" t="inlineStr" s="38">
        <is>
          <t xml:space="preserve">Allowance used &gt; Team</t>
        </is>
      </c>
      <c r="B167" s="8">
        <f>'Torque Assumptions · Tier prici'!E7</f>
        <v>0.65</v>
      </c>
    </row>
    <row r="168">
      <c r="A168" t="inlineStr" s="37">
        <is>
          <t xml:space="preserve">Attempt equivalents per run · Unit Economics &amp; Sensitivity · Unit economics per issue run</t>
        </is>
      </c>
      <c r="C168" s="8">
        <f>1+MIN('Model inputs'!C189,'Model inputs'!C197)*'Model inputs'!C195</f>
        <v>1.3</v>
      </c>
    </row>
    <row r="169">
      <c r="A169" t="inlineStr" s="37">
        <is>
          <t xml:space="preserve">Included issue runs</t>
        </is>
      </c>
      <c r="B169" s="6">
        <v>0</v>
      </c>
    </row>
    <row r="170" outlineLevel="1">
      <c r="A170" t="inlineStr" s="38">
        <is>
          <t xml:space="preserve">Included issue runs &gt; Maintainer</t>
        </is>
      </c>
      <c r="B170" s="8">
        <f>'Torque Assumptions · Tier prici'!C5</f>
        <v>20</v>
      </c>
    </row>
    <row r="171" outlineLevel="1">
      <c r="A171" t="inlineStr" s="38">
        <is>
          <t xml:space="preserve">Included issue runs &gt; Starter</t>
        </is>
      </c>
      <c r="B171" s="8">
        <f>'Torque Assumptions · Tier prici'!C6</f>
        <v>60</v>
      </c>
    </row>
    <row r="172" outlineLevel="1">
      <c r="A172" t="inlineStr" s="38">
        <is>
          <t xml:space="preserve">Included issue runs &gt; Team</t>
        </is>
      </c>
      <c r="B172" s="8">
        <f>'Torque Assumptions · Tier prici'!C7</f>
        <v>250</v>
      </c>
    </row>
    <row r="173">
      <c r="A173" t="inlineStr" s="37">
        <is>
          <t xml:space="preserve">LLM cost per attempt · Unit Economics &amp; Sensitivity · Unit economics per issue run</t>
        </is>
      </c>
      <c r="C173" s="8">
        <f>('Model inputs'!C192*'Model inputs'!C191+'Model inputs'!C194*'Model inputs'!C193)/1000000</f>
        <v>0.75</v>
      </c>
    </row>
    <row r="174">
      <c r="A174" t="inlineStr" s="37">
        <is>
          <t xml:space="preserve">LLM cost per attempt · Unit Economics &amp; Sensitivity · Sensitivity: cost and margin stress tests</t>
        </is>
      </c>
      <c r="B174" s="8">
        <f>('Model inputs'!C192*'Model inputs'!C191+'Model inputs'!C194*'Model inputs'!C193)/1000000</f>
        <v>0.75</v>
      </c>
    </row>
    <row r="175">
      <c r="A175" t="inlineStr" s="37">
        <is>
          <t xml:space="preserve">Monthly price</t>
        </is>
      </c>
      <c r="B175" s="6">
        <v>0</v>
      </c>
    </row>
    <row r="176" outlineLevel="1">
      <c r="A176" t="inlineStr" s="38">
        <is>
          <t xml:space="preserve">Monthly price &gt; Maintainer</t>
        </is>
      </c>
      <c r="B176" s="8">
        <f>'Torque Assumptions · Tier prici'!B5</f>
        <v>29</v>
      </c>
    </row>
    <row r="177" outlineLevel="1">
      <c r="A177" t="inlineStr" s="38">
        <is>
          <t xml:space="preserve">Monthly price &gt; Starter</t>
        </is>
      </c>
      <c r="B177" s="8">
        <f>'Torque Assumptions · Tier prici'!B6</f>
        <v>99</v>
      </c>
    </row>
    <row r="178" outlineLevel="1">
      <c r="A178" t="inlineStr" s="38">
        <is>
          <t xml:space="preserve">Monthly price &gt; Team</t>
        </is>
      </c>
      <c r="B178" s="8">
        <f>'Torque Assumptions · Tier prici'!B7</f>
        <v>399</v>
      </c>
    </row>
    <row r="179">
      <c r="A179" t="inlineStr" s="37">
        <is>
          <t xml:space="preserve">Overage price per run</t>
        </is>
      </c>
      <c r="B179" s="6">
        <v>0</v>
      </c>
    </row>
    <row r="180" outlineLevel="1">
      <c r="A180" t="inlineStr" s="38">
        <is>
          <t xml:space="preserve">Overage price per run &gt; Maintainer</t>
        </is>
      </c>
      <c r="B180" s="8">
        <f>'Torque Assumptions · Tier prici'!D5</f>
        <v>2.5</v>
      </c>
    </row>
    <row r="181" outlineLevel="1">
      <c r="A181" t="inlineStr" s="38">
        <is>
          <t xml:space="preserve">Overage price per run &gt; Starter</t>
        </is>
      </c>
      <c r="B181" s="8">
        <f>'Torque Assumptions · Tier prici'!D6</f>
        <v>2.25</v>
      </c>
    </row>
    <row r="182" outlineLevel="1">
      <c r="A182" t="inlineStr" s="38">
        <is>
          <t xml:space="preserve">Overage price per run &gt; Team</t>
        </is>
      </c>
      <c r="B182" s="8">
        <f>'Torque Assumptions · Tier prici'!D7</f>
        <v>2</v>
      </c>
    </row>
    <row r="183">
      <c r="A183" t="inlineStr" s="37">
        <is>
          <t xml:space="preserve">Overage runs per customer</t>
        </is>
      </c>
      <c r="B183" s="6">
        <v>0</v>
      </c>
    </row>
    <row r="184" outlineLevel="1">
      <c r="A184" t="inlineStr" s="38">
        <is>
          <t xml:space="preserve">Overage runs per customer &gt; Maintainer</t>
        </is>
      </c>
      <c r="B184" s="8">
        <f>'Torque Assumptions · Tier prici'!F5</f>
        <v>0.5</v>
      </c>
    </row>
    <row r="185" outlineLevel="1">
      <c r="A185" t="inlineStr" s="38">
        <is>
          <t xml:space="preserve">Overage runs per customer &gt; Starter</t>
        </is>
      </c>
      <c r="B185" s="8">
        <f>'Torque Assumptions · Tier prici'!F6</f>
        <v>3</v>
      </c>
    </row>
    <row r="186" outlineLevel="1">
      <c r="A186" t="inlineStr" s="38">
        <is>
          <t xml:space="preserve">Overage runs per customer &gt; Team</t>
        </is>
      </c>
      <c r="B186" s="8">
        <f>'Torque Assumptions · Tier prici'!F7</f>
        <v>15</v>
      </c>
    </row>
    <row r="187">
      <c r="A187" t="inlineStr" s="37">
        <is>
          <t xml:space="preserve">Sandbox cost per attempt · Unit Economics &amp; Sensitivity · Unit economics per issue run</t>
        </is>
      </c>
      <c r="C187" s="8">
        <f>'Model inputs'!C200*'Model inputs'!C199</f>
        <v>0.06</v>
      </c>
    </row>
    <row r="188">
      <c r="A188" t="inlineStr" s="37">
        <is>
          <t xml:space="preserve">Sandbox cost per attempt · Unit Economics &amp; Sensitivity · Sensitivity: cost and margin stress tests</t>
        </is>
      </c>
      <c r="B188" s="8">
        <f>'Model inputs'!C200*'Model inputs'!C199</f>
        <v>0.06</v>
      </c>
    </row>
    <row r="189">
      <c r="A189" t="inlineStr" s="37">
        <is>
          <t xml:space="preserve">Average recovery retries per run · Unit Economics &amp; Sensitivity · Unit economics per issue run</t>
        </is>
      </c>
      <c r="C189" s="8">
        <f>'Torque Assumptions · Run cost a'!B9</f>
        <v>0.6</v>
      </c>
    </row>
    <row r="190">
      <c r="A190" t="inlineStr" s="37">
        <is>
          <t xml:space="preserve">Average recovery retries per run · Unit Economics &amp; Sensitivity · Sensitivity: cost and margin stress tests</t>
        </is>
      </c>
      <c r="B190" s="8">
        <f>'Torque Assumptions · Run cost a'!B9</f>
        <v>0.6</v>
      </c>
    </row>
    <row r="191">
      <c r="A191" t="inlineStr" s="37">
        <is>
          <t xml:space="preserve">Input token price per 1M · Unit Economics &amp; Sensitivity · Unit economics per issue run</t>
        </is>
      </c>
      <c r="C191" s="8">
        <f>'Torque Assumptions · Run cost a'!B7</f>
        <v>3</v>
      </c>
    </row>
    <row r="192">
      <c r="A192" t="inlineStr" s="37">
        <is>
          <t xml:space="preserve">Input tokens per attempt · Unit Economics &amp; Sensitivity · Unit economics per issue run</t>
        </is>
      </c>
      <c r="C192" s="8">
        <f>'Torque Assumptions · Run cost a'!B5</f>
        <v>150000</v>
      </c>
    </row>
    <row r="193">
      <c r="A193" t="inlineStr" s="37">
        <is>
          <t xml:space="preserve">Output token price per 1M · Unit Economics &amp; Sensitivity · Unit economics per issue run</t>
        </is>
      </c>
      <c r="C193" s="8">
        <f>'Torque Assumptions · Run cost a'!B8</f>
        <v>15</v>
      </c>
    </row>
    <row r="194">
      <c r="A194" t="inlineStr" s="37">
        <is>
          <t xml:space="preserve">Output tokens per attempt · Unit Economics &amp; Sensitivity · Unit economics per issue run</t>
        </is>
      </c>
      <c r="C194" s="8">
        <f>'Torque Assumptions · Run cost a'!B6</f>
        <v>20000</v>
      </c>
    </row>
    <row r="195">
      <c r="A195" t="inlineStr" s="37">
        <is>
          <t xml:space="preserve">Retry cost vs first attempt · Unit Economics &amp; Sensitivity · Unit economics per issue run</t>
        </is>
      </c>
      <c r="C195" s="8">
        <f>'Torque Assumptions · Run cost a'!B11</f>
        <v>0.5</v>
      </c>
    </row>
    <row r="196">
      <c r="A196" t="inlineStr" s="37">
        <is>
          <t xml:space="preserve">Retry cost vs first attempt · Unit Economics &amp; Sensitivity · Sensitivity: cost and margin stress tests</t>
        </is>
      </c>
      <c r="B196" s="8">
        <f>'Torque Assumptions · Run cost a'!B11</f>
        <v>0.5</v>
      </c>
    </row>
    <row r="197">
      <c r="A197" t="inlineStr" s="37">
        <is>
          <t xml:space="preserve">Retry limit per run · Unit Economics &amp; Sensitivity · Unit economics per issue run</t>
        </is>
      </c>
      <c r="C197" s="8">
        <f>'Torque Assumptions · Run cost a'!B10</f>
        <v>2</v>
      </c>
    </row>
    <row r="198">
      <c r="A198" t="inlineStr" s="37">
        <is>
          <t xml:space="preserve">Retry limit per run · Unit Economics &amp; Sensitivity · Sensitivity: cost and margin stress tests</t>
        </is>
      </c>
      <c r="B198" s="8">
        <f>'Torque Assumptions · Run cost a'!B10</f>
        <v>2</v>
      </c>
    </row>
    <row r="199">
      <c r="A199" t="inlineStr" s="37">
        <is>
          <t xml:space="preserve">Sandbox cost per minute · Unit Economics &amp; Sensitivity · Unit economics per issue run</t>
        </is>
      </c>
      <c r="C199" s="8">
        <f>'Torque Assumptions · Run cost a'!B13</f>
        <v>0.004</v>
      </c>
    </row>
    <row r="200">
      <c r="A200" t="inlineStr" s="37">
        <is>
          <t xml:space="preserve">Sandbox minutes per attempt · Unit Economics &amp; Sensitivity · Unit economics per issue run</t>
        </is>
      </c>
      <c r="C200" s="8">
        <f>'Torque Assumptions · Run cost a'!B12</f>
        <v>15</v>
      </c>
    </row>
    <row r="201">
      <c r="A201" t="inlineStr" s="37">
        <is>
          <t xml:space="preserve">Churned customers</t>
        </is>
      </c>
      <c r="E201" s="6">
        <f>SUM('Model inputs'!E202,'Model inputs'!E203,'Model inputs'!E204)</f>
        <v>0</v>
      </c>
      <c r="F201" s="6">
        <f>SUM('Model inputs'!F202,'Model inputs'!F203,'Model inputs'!F204)</f>
        <v>0.186</v>
      </c>
      <c r="G201" s="6">
        <f>SUM('Model inputs'!G202,'Model inputs'!G203,'Model inputs'!G204)</f>
        <v>0.40587</v>
      </c>
      <c r="H201" s="6">
        <f>SUM('Model inputs'!H202,'Model inputs'!H203,'Model inputs'!H204)</f>
        <v>0.6689889</v>
      </c>
      <c r="I201" s="6">
        <f>SUM('Model inputs'!I202,'Model inputs'!I203,'Model inputs'!I204)</f>
        <v>0.987011958</v>
      </c>
      <c r="J201" s="6">
        <f>SUM('Model inputs'!J202,'Model inputs'!J203,'Model inputs'!J204)</f>
        <v>1.3744451337599999</v>
      </c>
      <c r="K201" s="6">
        <f>SUM('Model inputs'!K202,'Model inputs'!K203,'Model inputs'!K204)</f>
        <v>1.8493626085497001</v>
      </c>
      <c r="L201" s="6">
        <f>SUM('Model inputs'!L202,'Model inputs'!L203,'Model inputs'!L204)</f>
        <v>2.434303307172759</v>
      </c>
      <c r="M201" s="6">
        <f>SUM('Model inputs'!M202,'Model inputs'!M203,'Model inputs'!M204)</f>
        <v>3.157391202563794</v>
      </c>
      <c r="N201" s="6">
        <f>SUM('Model inputs'!N202,'Model inputs'!N203,'Model inputs'!N204)</f>
        <v>4.053735375976334</v>
      </c>
      <c r="O201" s="6">
        <f>SUM('Model inputs'!O202,'Model inputs'!O203,'Model inputs'!O204)</f>
        <v>5.167179796867183</v>
      </c>
      <c r="P201" s="6">
        <f>SUM('Model inputs'!P202,'Model inputs'!P203,'Model inputs'!P204)</f>
        <v>6.552490275613911</v>
      </c>
    </row>
    <row r="202" outlineLevel="1">
      <c r="A202" t="inlineStr" s="38">
        <is>
          <t xml:space="preserve">Churned customers &gt; Maintainer</t>
        </is>
      </c>
      <c r="E202" s="8">
        <f>'Model inputs'!D77*'Torque Assumptions · Tier prici'!H5</f>
        <v>0</v>
      </c>
      <c r="F202" s="8">
        <f>'Model inputs'!E77*'Torque Assumptions · Tier prici'!H5</f>
        <v>0.12</v>
      </c>
      <c r="G202" s="8">
        <f>'Model inputs'!F77*'Torque Assumptions · Tier prici'!H5</f>
        <v>0.2604</v>
      </c>
      <c r="H202" s="8">
        <f>'Model inputs'!G77*'Torque Assumptions · Tier prici'!H5</f>
        <v>0.427068</v>
      </c>
      <c r="I202" s="8">
        <f>'Model inputs'!H77*'Torque Assumptions · Tier prici'!H5</f>
        <v>0.62727756</v>
      </c>
      <c r="J202" s="8">
        <f>'Model inputs'!I77*'Torque Assumptions · Tier prici'!H5</f>
        <v>0.8700641052</v>
      </c>
      <c r="K202" s="8">
        <f>'Model inputs'!J77*'Torque Assumptions · Tier prici'!H5</f>
        <v>1.166669914284</v>
      </c>
      <c r="L202" s="8">
        <f>'Model inputs'!K77*'Torque Assumptions · Tier prici'!H5</f>
        <v>1.5310999930162803</v>
      </c>
      <c r="M202" s="8">
        <f>'Model inputs'!L77*'Torque Assumptions · Tier prici'!H5</f>
        <v>1.980816583418728</v>
      </c>
      <c r="N202" s="8">
        <f>'Model inputs'!M77*'Torque Assumptions · Tier prici'!H5</f>
        <v>2.5376069940499173</v>
      </c>
      <c r="O202" s="8">
        <f>'Model inputs'!N77*'Torque Assumptions · Tier prici'!H5</f>
        <v>3.2286681061567832</v>
      </c>
      <c r="P202" s="8">
        <f>'Model inputs'!O77*'Torque Assumptions · Tier prici'!H5</f>
        <v>4.087961747202815</v>
      </c>
    </row>
    <row r="203" outlineLevel="1">
      <c r="A203" t="inlineStr" s="38">
        <is>
          <t xml:space="preserve">Churned customers &gt; Starter</t>
        </is>
      </c>
      <c r="E203" s="8">
        <f>'Model inputs'!D78*'Torque Assumptions · Tier prici'!H6</f>
        <v>0</v>
      </c>
      <c r="F203" s="8">
        <f>'Model inputs'!E78*'Torque Assumptions · Tier prici'!H6</f>
        <v>0.05249999999999999</v>
      </c>
      <c r="G203" s="8">
        <f>'Model inputs'!F78*'Torque Assumptions · Tier prici'!H6</f>
        <v>0.11549999999999999</v>
      </c>
      <c r="H203" s="8">
        <f>'Model inputs'!G78*'Torque Assumptions · Tier prici'!H6</f>
        <v>0.19175625</v>
      </c>
      <c r="I203" s="8">
        <f>'Model inputs'!H78*'Torque Assumptions · Tier prici'!H6</f>
        <v>0.2847075</v>
      </c>
      <c r="J203" s="8">
        <f>'Model inputs'!I78*'Torque Assumptions · Tier prici'!H6</f>
        <v>0.39864595312499995</v>
      </c>
      <c r="K203" s="8">
        <f>'Model inputs'!J78*'Torque Assumptions · Tier prici'!H6</f>
        <v>0.538930940625</v>
      </c>
      <c r="L203" s="8">
        <f>'Model inputs'!K78*'Torque Assumptions · Tier prici'!H6</f>
        <v>0.7122560000390625</v>
      </c>
      <c r="M203" s="8">
        <f>'Model inputs'!L78*'Torque Assumptions · Tier prici'!H6</f>
        <v>0.92698270809375</v>
      </c>
      <c r="N203" s="8">
        <f>'Model inputs'!M78*'Torque Assumptions · Tier prici'!H6</f>
        <v>1.1935579577598634</v>
      </c>
      <c r="O203" s="8">
        <f>'Model inputs'!N78*'Torque Assumptions · Tier prici'!H6</f>
        <v>1.525035541210371</v>
      </c>
      <c r="P203" s="8">
        <f>'Model inputs'!O78*'Torque Assumptions · Tier prici'!H6</f>
        <v>1.9377281158229787</v>
      </c>
    </row>
    <row r="204" outlineLevel="1">
      <c r="A204" t="inlineStr" s="38">
        <is>
          <t xml:space="preserve">Churned customers &gt; Team</t>
        </is>
      </c>
      <c r="E204" s="8">
        <f>'Model inputs'!D79*'Torque Assumptions · Tier prici'!H7</f>
        <v>0</v>
      </c>
      <c r="F204" s="8">
        <f>'Model inputs'!E79*'Torque Assumptions · Tier prici'!H7</f>
        <v>0.013499999999999998</v>
      </c>
      <c r="G204" s="8">
        <f>'Model inputs'!F79*'Torque Assumptions · Tier prici'!H7</f>
        <v>0.029969999999999997</v>
      </c>
      <c r="H204" s="8">
        <f>'Model inputs'!G79*'Torque Assumptions · Tier prici'!H7</f>
        <v>0.05016464999999999</v>
      </c>
      <c r="I204" s="8">
        <f>'Model inputs'!H79*'Torque Assumptions · Tier prici'!H7</f>
        <v>0.075026898</v>
      </c>
      <c r="J204" s="8">
        <f>'Model inputs'!I79*'Torque Assumptions · Tier prici'!H7</f>
        <v>0.10573507543499999</v>
      </c>
      <c r="K204" s="8">
        <f>'Model inputs'!J79*'Torque Assumptions · Tier prici'!H7</f>
        <v>0.1437617536407</v>
      </c>
      <c r="L204" s="8">
        <f>'Model inputs'!K79*'Torque Assumptions · Tier prici'!H7</f>
        <v>0.19094731411741647</v>
      </c>
      <c r="M204" s="8">
        <f>'Model inputs'!L79*'Torque Assumptions · Tier prici'!H7</f>
        <v>0.24959191105131584</v>
      </c>
      <c r="N204" s="8">
        <f>'Model inputs'!M79*'Torque Assumptions · Tier prici'!H7</f>
        <v>0.3225704241665537</v>
      </c>
      <c r="O204" s="8">
        <f>'Model inputs'!N79*'Torque Assumptions · Tier prici'!H7</f>
        <v>0.41347614950002876</v>
      </c>
      <c r="P204" s="8">
        <f>'Model inputs'!O79*'Torque Assumptions · Tier prici'!H7</f>
        <v>0.5268004125881175</v>
      </c>
    </row>
    <row r="205">
      <c r="A205" t="inlineStr" s="37">
        <is>
          <t xml:space="preserve">Context and checkpoint cost per run Entire · Observability and context cost · Optimistic · Optimistic</t>
        </is>
      </c>
      <c r="B205" s="8">
        <f>'Torque Assumptions · Run cost a'!B15</f>
        <v>0.01</v>
      </c>
    </row>
    <row r="206">
      <c r="A206" t="inlineStr" s="37">
        <is>
          <t xml:space="preserve">Context and checkpoint cost per run Entire · Observability and context cost · Conservative · Conservative</t>
        </is>
      </c>
      <c r="B206" s="8">
        <f>'Torque Assumptions · Run cost a'!B15</f>
        <v>0.01</v>
      </c>
    </row>
    <row r="207">
      <c r="A207" t="inlineStr" s="37">
        <is>
          <t xml:space="preserve">Expected runs per customer</t>
        </is>
      </c>
      <c r="C207" s="6">
        <f>'Model inputs'!B169*'Model inputs'!B164+'Model inputs'!B183</f>
        <v>0</v>
      </c>
    </row>
    <row r="208" outlineLevel="1">
      <c r="A208" t="inlineStr" s="38">
        <is>
          <t xml:space="preserve">Expected runs per customer &gt; Maintainer</t>
        </is>
      </c>
      <c r="C208" s="8">
        <f>'Model inputs'!B170*'Model inputs'!B165+'Model inputs'!B184</f>
        <v>11.5</v>
      </c>
    </row>
    <row r="209" outlineLevel="1">
      <c r="A209" t="inlineStr" s="38">
        <is>
          <t xml:space="preserve">Expected runs per customer &gt; Starter</t>
        </is>
      </c>
      <c r="C209" s="8">
        <f>'Model inputs'!B171*'Model inputs'!B166+'Model inputs'!B185</f>
        <v>39</v>
      </c>
    </row>
    <row r="210" outlineLevel="1">
      <c r="A210" t="inlineStr" s="38">
        <is>
          <t xml:space="preserve">Expected runs per customer &gt; Team</t>
        </is>
      </c>
      <c r="C210" s="8">
        <f>'Model inputs'!B172*'Model inputs'!B167+'Model inputs'!B186</f>
        <v>177.5</v>
      </c>
    </row>
    <row r="211">
      <c r="A211" t="inlineStr" s="37">
        <is>
          <t xml:space="preserve">Expected runs per customer</t>
        </is>
      </c>
      <c r="B211" s="6">
        <f>'Model inputs'!B342*'Model inputs'!B328+'Model inputs'!B275</f>
        <v>0</v>
      </c>
    </row>
    <row r="212" outlineLevel="1">
      <c r="A212" t="inlineStr" s="38">
        <is>
          <t xml:space="preserve">Expected runs per customer &gt; Maintainer</t>
        </is>
      </c>
      <c r="B212" s="8">
        <f>'Model inputs'!B343*'Model inputs'!B329+'Model inputs'!B276</f>
        <v>9.5</v>
      </c>
    </row>
    <row r="213" outlineLevel="1">
      <c r="A213" t="inlineStr" s="38">
        <is>
          <t xml:space="preserve">Expected runs per customer &gt; Starter</t>
        </is>
      </c>
      <c r="B213" s="8">
        <f>'Model inputs'!B344*'Model inputs'!B330+'Model inputs'!B277</f>
        <v>33</v>
      </c>
    </row>
    <row r="214" outlineLevel="1">
      <c r="A214" t="inlineStr" s="38">
        <is>
          <t xml:space="preserve">Expected runs per customer &gt; Team</t>
        </is>
      </c>
      <c r="B214" s="8">
        <f>'Model inputs'!B345*'Model inputs'!B331+'Model inputs'!B278</f>
        <v>152.5</v>
      </c>
    </row>
    <row r="215">
      <c r="A215" t="inlineStr" s="37">
        <is>
          <t xml:space="preserve">Expected runs per customer</t>
        </is>
      </c>
      <c r="B215" s="6">
        <f>'Model inputs'!B346*'Model inputs'!B332+'Model inputs'!B279</f>
        <v>0</v>
      </c>
    </row>
    <row r="216" outlineLevel="1">
      <c r="A216" t="inlineStr" s="38">
        <is>
          <t xml:space="preserve">Expected runs per customer &gt; Maintainer</t>
        </is>
      </c>
      <c r="B216" s="8">
        <f>'Model inputs'!B347*'Model inputs'!B333+'Model inputs'!B280</f>
        <v>15.5</v>
      </c>
    </row>
    <row r="217" outlineLevel="1">
      <c r="A217" t="inlineStr" s="38">
        <is>
          <t xml:space="preserve">Expected runs per customer &gt; Starter</t>
        </is>
      </c>
      <c r="B217" s="8">
        <f>'Model inputs'!B348*'Model inputs'!B334+'Model inputs'!B281</f>
        <v>48</v>
      </c>
    </row>
    <row r="218" outlineLevel="1">
      <c r="A218" t="inlineStr" s="38">
        <is>
          <t xml:space="preserve">Expected runs per customer &gt; Team</t>
        </is>
      </c>
      <c r="B218" s="8">
        <f>'Model inputs'!B349*'Model inputs'!B335+'Model inputs'!B282</f>
        <v>215</v>
      </c>
    </row>
    <row r="219">
      <c r="A219" t="inlineStr" s="37">
        <is>
          <t xml:space="preserve">Fixed hosting per month · Hosting cost · Optimistic · Optimistic</t>
        </is>
      </c>
      <c r="B219" s="8">
        <f>'Torque Assumptions · Growth &amp; o'!B7</f>
        <v>150</v>
      </c>
    </row>
    <row r="220">
      <c r="A220" t="inlineStr" s="37">
        <is>
          <t xml:space="preserve">Fixed hosting per month · Hosting cost · Conservative · Conservative</t>
        </is>
      </c>
      <c r="B220" s="8">
        <f>'Torque Assumptions · Growth &amp; o'!B7</f>
        <v>150</v>
      </c>
    </row>
    <row r="221">
      <c r="A221" t="inlineStr" s="37">
        <is>
          <t xml:space="preserve">LLM cost per run · LLM token cost · Optimistic · Optimistic</t>
        </is>
      </c>
      <c r="B221" s="8">
        <f>'Model inputs'!B350*'Model inputs'!B336</f>
        <v>0.792</v>
      </c>
    </row>
    <row r="222">
      <c r="A222" t="inlineStr" s="37">
        <is>
          <t xml:space="preserve">LLM cost per run · LLM token cost · Conservative · Conservative</t>
        </is>
      </c>
      <c r="B222" s="8">
        <f>'Model inputs'!B351*'Model inputs'!B337</f>
        <v>1.305</v>
      </c>
    </row>
    <row r="223">
      <c r="A223" t="inlineStr" s="37">
        <is>
          <t xml:space="preserve">Marketing per month · Marketing · Optimistic · Optimistic</t>
        </is>
      </c>
      <c r="B223" s="8">
        <f>'Torque Assumptions · Growth &amp; o'!B9</f>
        <v>500</v>
      </c>
    </row>
    <row r="224">
      <c r="A224" t="inlineStr" s="37">
        <is>
          <t xml:space="preserve">Marketing per month · Marketing · Conservative · Conservative</t>
        </is>
      </c>
      <c r="B224" s="8">
        <f>'Torque Assumptions · Growth &amp; o'!B9</f>
        <v>500</v>
      </c>
    </row>
    <row r="225">
      <c r="A225" t="inlineStr" s="37">
        <is>
          <t xml:space="preserve">Mix weighted expected runs</t>
        </is>
      </c>
      <c r="B225" s="6">
        <f>'Model inputs'!B142*'Model inputs'!B128</f>
        <v>0</v>
      </c>
    </row>
    <row r="226" outlineLevel="1">
      <c r="A226" t="inlineStr" s="38">
        <is>
          <t xml:space="preserve">Mix weighted expected runs &gt; Maintainer</t>
        </is>
      </c>
      <c r="B226" s="8">
        <f>'Model inputs'!B143*'Model inputs'!B129</f>
        <v>5.75</v>
      </c>
    </row>
    <row r="227" outlineLevel="1">
      <c r="A227" t="inlineStr" s="38">
        <is>
          <t xml:space="preserve">Mix weighted expected runs &gt; Starter</t>
        </is>
      </c>
      <c r="B227" s="8">
        <f>'Model inputs'!B144*'Model inputs'!B130</f>
        <v>13.649999999999999</v>
      </c>
    </row>
    <row r="228" outlineLevel="1">
      <c r="A228" t="inlineStr" s="38">
        <is>
          <t xml:space="preserve">Mix weighted expected runs &gt; Team</t>
        </is>
      </c>
      <c r="B228" s="8">
        <f>'Model inputs'!B145*'Model inputs'!B131</f>
        <v>26.625</v>
      </c>
    </row>
    <row r="229">
      <c r="A229" t="inlineStr" s="37">
        <is>
          <t xml:space="preserve">Mix weighted full allowance runs</t>
        </is>
      </c>
      <c r="B229" s="6">
        <f>'Model inputs'!B142*'Model inputs'!B134</f>
        <v>0</v>
      </c>
    </row>
    <row r="230" outlineLevel="1">
      <c r="A230" t="inlineStr" s="38">
        <is>
          <t xml:space="preserve">Mix weighted full allowance runs &gt; Maintainer</t>
        </is>
      </c>
      <c r="B230" s="8">
        <f>'Model inputs'!B143*'Model inputs'!B135</f>
        <v>10.25</v>
      </c>
    </row>
    <row r="231" outlineLevel="1">
      <c r="A231" t="inlineStr" s="38">
        <is>
          <t xml:space="preserve">Mix weighted full allowance runs &gt; Starter</t>
        </is>
      </c>
      <c r="B231" s="8">
        <f>'Model inputs'!B144*'Model inputs'!B136</f>
        <v>22.049999999999997</v>
      </c>
    </row>
    <row r="232" outlineLevel="1">
      <c r="A232" t="inlineStr" s="38">
        <is>
          <t xml:space="preserve">Mix weighted full allowance runs &gt; Team</t>
        </is>
      </c>
      <c r="B232" s="8">
        <f>'Model inputs'!B145*'Model inputs'!B137</f>
        <v>39.75</v>
      </c>
    </row>
    <row r="233">
      <c r="A233" t="inlineStr" s="37">
        <is>
          <t xml:space="preserve">Mix weighted revenue</t>
        </is>
      </c>
      <c r="B233" s="6">
        <f>'Model inputs'!B142*'Model inputs'!B150</f>
        <v>0</v>
      </c>
    </row>
    <row r="234" outlineLevel="1">
      <c r="A234" t="inlineStr" s="38">
        <is>
          <t xml:space="preserve">Mix weighted revenue &gt; Maintainer</t>
        </is>
      </c>
      <c r="B234" s="8">
        <f>'Model inputs'!B143*'Model inputs'!B151</f>
        <v>15.125</v>
      </c>
    </row>
    <row r="235" outlineLevel="1">
      <c r="A235" t="inlineStr" s="38">
        <is>
          <t xml:space="preserve">Mix weighted revenue &gt; Starter</t>
        </is>
      </c>
      <c r="B235" s="8">
        <f>'Model inputs'!B144*'Model inputs'!B152</f>
        <v>37.012499999999996</v>
      </c>
    </row>
    <row r="236" outlineLevel="1">
      <c r="A236" t="inlineStr" s="38">
        <is>
          <t xml:space="preserve">Mix weighted revenue &gt; Team</t>
        </is>
      </c>
      <c r="B236" s="8">
        <f>'Model inputs'!B145*'Model inputs'!B153</f>
        <v>64.35</v>
      </c>
    </row>
    <row r="237">
      <c r="A237" t="inlineStr" s="37">
        <is>
          <t xml:space="preserve">Monthly churn rate</t>
        </is>
      </c>
      <c r="B237" s="6">
        <v>0</v>
      </c>
    </row>
    <row r="238" outlineLevel="1">
      <c r="A238" t="inlineStr" s="38">
        <is>
          <t xml:space="preserve">Monthly churn rate &gt; Maintainer</t>
        </is>
      </c>
      <c r="B238" s="8">
        <f>0.06</f>
        <v>0.06</v>
      </c>
    </row>
    <row r="239" outlineLevel="1">
      <c r="A239" t="inlineStr" s="38">
        <is>
          <t xml:space="preserve">Monthly churn rate &gt; Starter</t>
        </is>
      </c>
      <c r="B239" s="8">
        <f>0.035</f>
        <v>0.035</v>
      </c>
    </row>
    <row r="240" outlineLevel="1">
      <c r="A240" t="inlineStr" s="38">
        <is>
          <t xml:space="preserve">Monthly churn rate &gt; Team</t>
        </is>
      </c>
      <c r="B240" s="8">
        <f>0.02</f>
        <v>0.02</v>
      </c>
    </row>
    <row r="241">
      <c r="A241" t="inlineStr" s="37">
        <is>
          <t xml:space="preserve">Monthly churn rate</t>
        </is>
      </c>
      <c r="B241" s="6">
        <v>0</v>
      </c>
    </row>
    <row r="242" outlineLevel="1">
      <c r="A242" t="inlineStr" s="38">
        <is>
          <t xml:space="preserve">Monthly churn rate &gt; Maintainer</t>
        </is>
      </c>
      <c r="B242" s="8">
        <f>0.12</f>
        <v>0.12</v>
      </c>
    </row>
    <row r="243" outlineLevel="1">
      <c r="A243" t="inlineStr" s="38">
        <is>
          <t xml:space="preserve">Monthly churn rate &gt; Starter</t>
        </is>
      </c>
      <c r="B243" s="8">
        <f>0.08</f>
        <v>0.08</v>
      </c>
    </row>
    <row r="244" outlineLevel="1">
      <c r="A244" t="inlineStr" s="38">
        <is>
          <t xml:space="preserve">Monthly churn rate &gt; Team</t>
        </is>
      </c>
      <c r="B244" s="8">
        <f>0.05</f>
        <v>0.05</v>
      </c>
    </row>
    <row r="245">
      <c r="A245" t="inlineStr" s="37">
        <is>
          <t xml:space="preserve">Monthly price</t>
        </is>
      </c>
      <c r="B245" s="6">
        <v>0</v>
      </c>
    </row>
    <row r="246" outlineLevel="1">
      <c r="A246" t="inlineStr" s="38">
        <is>
          <t xml:space="preserve">Monthly price &gt; Maintainer</t>
        </is>
      </c>
      <c r="B246" s="8">
        <f>'Torque Assumptions · Tier prici'!B5</f>
        <v>29</v>
      </c>
    </row>
    <row r="247" outlineLevel="1">
      <c r="A247" t="inlineStr" s="38">
        <is>
          <t xml:space="preserve">Monthly price &gt; Starter</t>
        </is>
      </c>
      <c r="B247" s="8">
        <f>'Torque Assumptions · Tier prici'!B6</f>
        <v>99</v>
      </c>
    </row>
    <row r="248" outlineLevel="1">
      <c r="A248" t="inlineStr" s="38">
        <is>
          <t xml:space="preserve">Monthly price &gt; Team</t>
        </is>
      </c>
      <c r="B248" s="8">
        <f>'Torque Assumptions · Tier prici'!B7</f>
        <v>399</v>
      </c>
    </row>
    <row r="249">
      <c r="A249" t="inlineStr" s="37">
        <is>
          <t xml:space="preserve">Monthly price</t>
        </is>
      </c>
      <c r="B249" s="6">
        <v>0</v>
      </c>
    </row>
    <row r="250" outlineLevel="1">
      <c r="A250" t="inlineStr" s="38">
        <is>
          <t xml:space="preserve">Monthly price &gt; Maintainer</t>
        </is>
      </c>
      <c r="B250" s="8">
        <f>'Torque Assumptions · Tier prici'!B5</f>
        <v>29</v>
      </c>
    </row>
    <row r="251" outlineLevel="1">
      <c r="A251" t="inlineStr" s="38">
        <is>
          <t xml:space="preserve">Monthly price &gt; Starter</t>
        </is>
      </c>
      <c r="B251" s="8">
        <f>'Torque Assumptions · Tier prici'!B6</f>
        <v>99</v>
      </c>
    </row>
    <row r="252" outlineLevel="1">
      <c r="A252" t="inlineStr" s="38">
        <is>
          <t xml:space="preserve">Monthly price &gt; Team</t>
        </is>
      </c>
      <c r="B252" s="8">
        <f>'Torque Assumptions · Tier prici'!B7</f>
        <v>399</v>
      </c>
    </row>
    <row r="253">
      <c r="A253" t="inlineStr" s="37">
        <is>
          <t xml:space="preserve">New customer mix</t>
        </is>
      </c>
      <c r="C253" s="6">
        <v>0</v>
      </c>
    </row>
    <row r="254" outlineLevel="1">
      <c r="A254" t="inlineStr" s="38">
        <is>
          <t xml:space="preserve">New customer mix &gt; Maintainer</t>
        </is>
      </c>
      <c r="C254" s="8">
        <f>'Torque Assumptions · Tier prici'!G5</f>
        <v>0.5</v>
      </c>
    </row>
    <row r="255" outlineLevel="1">
      <c r="A255" t="inlineStr" s="38">
        <is>
          <t xml:space="preserve">New customer mix &gt; Starter</t>
        </is>
      </c>
      <c r="C255" s="8">
        <f>'Torque Assumptions · Tier prici'!G6</f>
        <v>0.35</v>
      </c>
    </row>
    <row r="256" outlineLevel="1">
      <c r="A256" t="inlineStr" s="38">
        <is>
          <t xml:space="preserve">New customer mix &gt; Team</t>
        </is>
      </c>
      <c r="C256" s="8">
        <f>'Torque Assumptions · Tier prici'!G7</f>
        <v>0.15</v>
      </c>
    </row>
    <row r="257">
      <c r="A257" t="inlineStr" s="37">
        <is>
          <t xml:space="preserve">New customer mix</t>
        </is>
      </c>
      <c r="B257" s="6">
        <v>0</v>
      </c>
    </row>
    <row r="258" outlineLevel="1">
      <c r="A258" t="inlineStr" s="38">
        <is>
          <t xml:space="preserve">New customer mix &gt; Maintainer</t>
        </is>
      </c>
      <c r="B258" s="8">
        <f>'Torque Assumptions · Tier prici'!G5</f>
        <v>0.5</v>
      </c>
    </row>
    <row r="259" outlineLevel="1">
      <c r="A259" t="inlineStr" s="38">
        <is>
          <t xml:space="preserve">New customer mix &gt; Starter</t>
        </is>
      </c>
      <c r="B259" s="8">
        <f>'Torque Assumptions · Tier prici'!G6</f>
        <v>0.35</v>
      </c>
    </row>
    <row r="260" outlineLevel="1">
      <c r="A260" t="inlineStr" s="38">
        <is>
          <t xml:space="preserve">New customer mix &gt; Team</t>
        </is>
      </c>
      <c r="B260" s="8">
        <f>'Torque Assumptions · Tier prici'!G7</f>
        <v>0.15</v>
      </c>
    </row>
    <row r="261">
      <c r="A261" t="inlineStr" s="37">
        <is>
          <t xml:space="preserve">New customer mix</t>
        </is>
      </c>
      <c r="B261" s="6">
        <v>0</v>
      </c>
    </row>
    <row r="262" outlineLevel="1">
      <c r="A262" t="inlineStr" s="38">
        <is>
          <t xml:space="preserve">New customer mix &gt; Maintainer</t>
        </is>
      </c>
      <c r="B262" s="8">
        <f>'Torque Assumptions · Tier prici'!G5</f>
        <v>0.5</v>
      </c>
    </row>
    <row r="263" outlineLevel="1">
      <c r="A263" t="inlineStr" s="38">
        <is>
          <t xml:space="preserve">New customer mix &gt; Starter</t>
        </is>
      </c>
      <c r="B263" s="8">
        <f>'Torque Assumptions · Tier prici'!G6</f>
        <v>0.35</v>
      </c>
    </row>
    <row r="264" outlineLevel="1">
      <c r="A264" t="inlineStr" s="38">
        <is>
          <t xml:space="preserve">New customer mix &gt; Team</t>
        </is>
      </c>
      <c r="B264" s="8">
        <f>'Torque Assumptions · Tier prici'!G7</f>
        <v>0.15</v>
      </c>
    </row>
    <row r="265">
      <c r="A265" t="inlineStr" s="37">
        <is>
          <t xml:space="preserve">New customers · Paying customers · Optimistic · Optimistic</t>
        </is>
      </c>
      <c r="D265" s="8">
        <v>0</v>
      </c>
      <c r="E265" s="8">
        <f>'Model inputs'!B354*IF(AND((1+'Model inputs'!B352)=0,DATEDIF(DATE(2026,10,1),DATE(2026,10,1),"M")=0),SQRT(-1),(1+'Model inputs'!B352)^DATEDIF(DATE(2026,10,1),DATE(2026,10,1),"M"))</f>
        <v>5</v>
      </c>
      <c r="F265" s="8">
        <f>'Model inputs'!B354*IF(AND((1+'Model inputs'!B352)=0,DATEDIF(DATE(2026,10,1),DATE(2026,11,1),"M")=0),SQRT(-1),(1+'Model inputs'!B352)^DATEDIF(DATE(2026,10,1),DATE(2026,11,1),"M"))</f>
        <v>6.6000000000000005</v>
      </c>
      <c r="G265" s="8">
        <f>'Model inputs'!B354*IF(AND((1+'Model inputs'!B352)=0,DATEDIF(DATE(2026,10,1),DATE(2026,12,1),"M")=0),SQRT(-1),(1+'Model inputs'!B352)^DATEDIF(DATE(2026,10,1),DATE(2026,12,1),"M"))</f>
        <v>8.712000000000002</v>
      </c>
      <c r="H265" s="8">
        <f>'Model inputs'!B354*IF(AND((1+'Model inputs'!B352)=0,DATEDIF(DATE(2026,10,1),DATE(2027,1,1),"M")=0),SQRT(-1),(1+'Model inputs'!B352)^DATEDIF(DATE(2026,10,1),DATE(2027,1,1),"M"))</f>
        <v>11.49984</v>
      </c>
      <c r="I265" s="8">
        <f>'Model inputs'!B354*IF(AND((1+'Model inputs'!B352)=0,DATEDIF(DATE(2026,10,1),DATE(2027,2,1),"M")=0),SQRT(-1),(1+'Model inputs'!B352)^DATEDIF(DATE(2026,10,1),DATE(2027,2,1),"M"))</f>
        <v>15.179788800000003</v>
      </c>
      <c r="J265" s="8">
        <f>'Model inputs'!B354*IF(AND((1+'Model inputs'!B352)=0,DATEDIF(DATE(2026,10,1),DATE(2027,3,1),"M")=0),SQRT(-1),(1+'Model inputs'!B352)^DATEDIF(DATE(2026,10,1),DATE(2027,3,1),"M"))</f>
        <v>20.037321216000006</v>
      </c>
      <c r="K265" s="8">
        <f>'Model inputs'!B354*IF(AND((1+'Model inputs'!B352)=0,DATEDIF(DATE(2026,10,1),DATE(2027,4,1),"M")=0),SQRT(-1),(1+'Model inputs'!B352)^DATEDIF(DATE(2026,10,1),DATE(2027,4,1),"M"))</f>
        <v>26.449264005120007</v>
      </c>
      <c r="L265" s="8">
        <f>'Model inputs'!B354*IF(AND((1+'Model inputs'!B352)=0,DATEDIF(DATE(2026,10,1),DATE(2027,5,1),"M")=0),SQRT(-1),(1+'Model inputs'!B352)^DATEDIF(DATE(2026,10,1),DATE(2027,5,1),"M"))</f>
        <v>34.913028486758414</v>
      </c>
      <c r="M265" s="8">
        <f>'Model inputs'!B354*IF(AND((1+'Model inputs'!B352)=0,DATEDIF(DATE(2026,10,1),DATE(2027,6,1),"M")=0),SQRT(-1),(1+'Model inputs'!B352)^DATEDIF(DATE(2026,10,1),DATE(2027,6,1),"M"))</f>
        <v>46.085197602521106</v>
      </c>
      <c r="N265" s="8">
        <f>'Model inputs'!B354*IF(AND((1+'Model inputs'!B352)=0,DATEDIF(DATE(2026,10,1),DATE(2027,7,1),"M")=0),SQRT(-1),(1+'Model inputs'!B352)^DATEDIF(DATE(2026,10,1),DATE(2027,7,1),"M"))</f>
        <v>60.83246083532786</v>
      </c>
      <c r="O265" s="8">
        <f>'Model inputs'!B354*IF(AND((1+'Model inputs'!B352)=0,DATEDIF(DATE(2026,10,1),DATE(2027,8,1),"M")=0),SQRT(-1),(1+'Model inputs'!B352)^DATEDIF(DATE(2026,10,1),DATE(2027,8,1),"M"))</f>
        <v>80.29884830263278</v>
      </c>
      <c r="P265" s="8">
        <f>'Model inputs'!B354*IF(AND((1+'Model inputs'!B352)=0,DATEDIF(DATE(2026,10,1),DATE(2027,9,1),"M")=0),SQRT(-1),(1+'Model inputs'!B352)^DATEDIF(DATE(2026,10,1),DATE(2027,9,1),"M"))</f>
        <v>105.99447975947527</v>
      </c>
    </row>
    <row r="266">
      <c r="A266" t="inlineStr" s="37">
        <is>
          <t xml:space="preserve">New customers · Paying customers · Conservative · Conservative</t>
        </is>
      </c>
      <c r="D266" s="8">
        <v>0</v>
      </c>
      <c r="E266" s="8">
        <f>'Model inputs'!B355*IF(AND((1+'Model inputs'!B353)=0,DATEDIF(DATE(2026,10,1),DATE(2026,10,1),"M")=0),SQRT(-1),(1+'Model inputs'!B353)^DATEDIF(DATE(2026,10,1),DATE(2026,10,1),"M"))</f>
        <v>1.5</v>
      </c>
      <c r="F266" s="8">
        <f>'Model inputs'!B355*IF(AND((1+'Model inputs'!B353)=0,DATEDIF(DATE(2026,10,1),DATE(2026,11,1),"M")=0),SQRT(-1),(1+'Model inputs'!B353)^DATEDIF(DATE(2026,10,1),DATE(2026,11,1),"M"))</f>
        <v>1.7249999999999999</v>
      </c>
      <c r="G266" s="8">
        <f>'Model inputs'!B355*IF(AND((1+'Model inputs'!B353)=0,DATEDIF(DATE(2026,10,1),DATE(2026,12,1),"M")=0),SQRT(-1),(1+'Model inputs'!B353)^DATEDIF(DATE(2026,10,1),DATE(2026,12,1),"M"))</f>
        <v>1.9837499999999997</v>
      </c>
      <c r="H266" s="8">
        <f>'Model inputs'!B355*IF(AND((1+'Model inputs'!B353)=0,DATEDIF(DATE(2026,10,1),DATE(2027,1,1),"M")=0),SQRT(-1),(1+'Model inputs'!B353)^DATEDIF(DATE(2026,10,1),DATE(2027,1,1),"M"))</f>
        <v>2.2813124999999994</v>
      </c>
      <c r="I266" s="8">
        <f>'Model inputs'!B355*IF(AND((1+'Model inputs'!B353)=0,DATEDIF(DATE(2026,10,1),DATE(2027,2,1),"M")=0),SQRT(-1),(1+'Model inputs'!B353)^DATEDIF(DATE(2026,10,1),DATE(2027,2,1),"M"))</f>
        <v>2.6235093749999994</v>
      </c>
      <c r="J266" s="8">
        <f>'Model inputs'!B355*IF(AND((1+'Model inputs'!B353)=0,DATEDIF(DATE(2026,10,1),DATE(2027,3,1),"M")=0),SQRT(-1),(1+'Model inputs'!B353)^DATEDIF(DATE(2026,10,1),DATE(2027,3,1),"M"))</f>
        <v>3.017035781249999</v>
      </c>
      <c r="K266" s="8">
        <f>'Model inputs'!B355*IF(AND((1+'Model inputs'!B353)=0,DATEDIF(DATE(2026,10,1),DATE(2027,4,1),"M")=0),SQRT(-1),(1+'Model inputs'!B353)^DATEDIF(DATE(2026,10,1),DATE(2027,4,1),"M"))</f>
        <v>3.4695911484374986</v>
      </c>
      <c r="L266" s="8">
        <f>'Model inputs'!B355*IF(AND((1+'Model inputs'!B353)=0,DATEDIF(DATE(2026,10,1),DATE(2027,5,1),"M")=0),SQRT(-1),(1+'Model inputs'!B353)^DATEDIF(DATE(2026,10,1),DATE(2027,5,1),"M"))</f>
        <v>3.990029820703123</v>
      </c>
      <c r="M266" s="8">
        <f>'Model inputs'!B355*IF(AND((1+'Model inputs'!B353)=0,DATEDIF(DATE(2026,10,1),DATE(2027,6,1),"M")=0),SQRT(-1),(1+'Model inputs'!B353)^DATEDIF(DATE(2026,10,1),DATE(2027,6,1),"M"))</f>
        <v>4.588534293808591</v>
      </c>
      <c r="N266" s="8">
        <f>'Model inputs'!B355*IF(AND((1+'Model inputs'!B353)=0,DATEDIF(DATE(2026,10,1),DATE(2027,7,1),"M")=0),SQRT(-1),(1+'Model inputs'!B353)^DATEDIF(DATE(2026,10,1),DATE(2027,7,1),"M"))</f>
        <v>5.27681443787988</v>
      </c>
      <c r="O266" s="8">
        <f>'Model inputs'!B355*IF(AND((1+'Model inputs'!B353)=0,DATEDIF(DATE(2026,10,1),DATE(2027,8,1),"M")=0),SQRT(-1),(1+'Model inputs'!B353)^DATEDIF(DATE(2026,10,1),DATE(2027,8,1),"M"))</f>
        <v>6.06833660356186</v>
      </c>
      <c r="P266" s="8">
        <f>'Model inputs'!B355*IF(AND((1+'Model inputs'!B353)=0,DATEDIF(DATE(2026,10,1),DATE(2027,9,1),"M")=0),SQRT(-1),(1+'Model inputs'!B353)^DATEDIF(DATE(2026,10,1),DATE(2027,9,1),"M"))</f>
        <v>6.978587094096138</v>
      </c>
    </row>
    <row r="267">
      <c r="A267" t="inlineStr" s="37">
        <is>
          <t xml:space="preserve">Overage price per run</t>
        </is>
      </c>
      <c r="B267" s="6">
        <v>0</v>
      </c>
    </row>
    <row r="268" outlineLevel="1">
      <c r="A268" t="inlineStr" s="38">
        <is>
          <t xml:space="preserve">Overage price per run &gt; Maintainer</t>
        </is>
      </c>
      <c r="B268" s="8">
        <f>'Torque Assumptions · Tier prici'!D5</f>
        <v>2.5</v>
      </c>
    </row>
    <row r="269" outlineLevel="1">
      <c r="A269" t="inlineStr" s="38">
        <is>
          <t xml:space="preserve">Overage price per run &gt; Starter</t>
        </is>
      </c>
      <c r="B269" s="8">
        <f>'Torque Assumptions · Tier prici'!D6</f>
        <v>2.25</v>
      </c>
    </row>
    <row r="270" outlineLevel="1">
      <c r="A270" t="inlineStr" s="38">
        <is>
          <t xml:space="preserve">Overage price per run &gt; Team</t>
        </is>
      </c>
      <c r="B270" s="8">
        <f>'Torque Assumptions · Tier prici'!D7</f>
        <v>2</v>
      </c>
    </row>
    <row r="271">
      <c r="A271" t="inlineStr" s="37">
        <is>
          <t xml:space="preserve">Overage price per run</t>
        </is>
      </c>
      <c r="B271" s="6">
        <v>0</v>
      </c>
    </row>
    <row r="272" outlineLevel="1">
      <c r="A272" t="inlineStr" s="38">
        <is>
          <t xml:space="preserve">Overage price per run &gt; Maintainer</t>
        </is>
      </c>
      <c r="B272" s="8">
        <f>'Torque Assumptions · Tier prici'!D5</f>
        <v>2.5</v>
      </c>
    </row>
    <row r="273" outlineLevel="1">
      <c r="A273" t="inlineStr" s="38">
        <is>
          <t xml:space="preserve">Overage price per run &gt; Starter</t>
        </is>
      </c>
      <c r="B273" s="8">
        <f>'Torque Assumptions · Tier prici'!D6</f>
        <v>2.25</v>
      </c>
    </row>
    <row r="274" outlineLevel="1">
      <c r="A274" t="inlineStr" s="38">
        <is>
          <t xml:space="preserve">Overage price per run &gt; Team</t>
        </is>
      </c>
      <c r="B274" s="8">
        <f>'Torque Assumptions · Tier prici'!D7</f>
        <v>2</v>
      </c>
    </row>
    <row r="275">
      <c r="A275" t="inlineStr" s="37">
        <is>
          <t xml:space="preserve">Overage runs per customer</t>
        </is>
      </c>
      <c r="B275" s="6">
        <v>0</v>
      </c>
    </row>
    <row r="276" outlineLevel="1">
      <c r="A276" t="inlineStr" s="38">
        <is>
          <t xml:space="preserve">Overage runs per customer &gt; Maintainer</t>
        </is>
      </c>
      <c r="B276" s="8">
        <f>'Torque Assumptions · Tier prici'!F5</f>
        <v>0.5</v>
      </c>
    </row>
    <row r="277" outlineLevel="1">
      <c r="A277" t="inlineStr" s="38">
        <is>
          <t xml:space="preserve">Overage runs per customer &gt; Starter</t>
        </is>
      </c>
      <c r="B277" s="8">
        <f>'Torque Assumptions · Tier prici'!F6</f>
        <v>3</v>
      </c>
    </row>
    <row r="278" outlineLevel="1">
      <c r="A278" t="inlineStr" s="38">
        <is>
          <t xml:space="preserve">Overage runs per customer &gt; Team</t>
        </is>
      </c>
      <c r="B278" s="8">
        <f>'Torque Assumptions · Tier prici'!F7</f>
        <v>15</v>
      </c>
    </row>
    <row r="279">
      <c r="A279" t="inlineStr" s="37">
        <is>
          <t xml:space="preserve">Overage runs per customer</t>
        </is>
      </c>
      <c r="B279" s="6">
        <v>0</v>
      </c>
    </row>
    <row r="280" outlineLevel="1">
      <c r="A280" t="inlineStr" s="38">
        <is>
          <t xml:space="preserve">Overage runs per customer &gt; Maintainer</t>
        </is>
      </c>
      <c r="B280" s="8">
        <f>'Torque Assumptions · Tier prici'!F5</f>
        <v>0.5</v>
      </c>
    </row>
    <row r="281" outlineLevel="1">
      <c r="A281" t="inlineStr" s="38">
        <is>
          <t xml:space="preserve">Overage runs per customer &gt; Starter</t>
        </is>
      </c>
      <c r="B281" s="8">
        <f>'Torque Assumptions · Tier prici'!F6</f>
        <v>3</v>
      </c>
    </row>
    <row r="282" outlineLevel="1">
      <c r="A282" t="inlineStr" s="38">
        <is>
          <t xml:space="preserve">Overage runs per customer &gt; Team</t>
        </is>
      </c>
      <c r="B282" s="8">
        <f>'Torque Assumptions · Tier prici'!F7</f>
        <v>15</v>
      </c>
    </row>
    <row r="283">
      <c r="A283" t="inlineStr" s="37">
        <is>
          <t xml:space="preserve">Paying customers</t>
        </is>
      </c>
      <c r="D283" s="6">
        <f>SUM('Model inputs'!D284,'Model inputs'!D285,'Model inputs'!D286)</f>
        <v>0</v>
      </c>
      <c r="E283" s="6">
        <f>SUM('Model inputs'!E284,'Model inputs'!E285,'Model inputs'!E286)</f>
        <v>5</v>
      </c>
      <c r="F283" s="6">
        <f>SUM('Model inputs'!F284,'Model inputs'!F285,'Model inputs'!F286)</f>
        <v>11.373750000000001</v>
      </c>
      <c r="G283" s="6">
        <f>SUM('Model inputs'!G284,'Model inputs'!G285,'Model inputs'!G286)</f>
        <v>19.572293750000004</v>
      </c>
      <c r="H283" s="6">
        <f>SUM('Model inputs'!H284,'Model inputs'!H285,'Model inputs'!H286)</f>
        <v>30.190387968750002</v>
      </c>
      <c r="I283" s="6">
        <f>SUM('Model inputs'!I284,'Model inputs'!I285,'Model inputs'!I286)</f>
        <v>44.01252563984375</v>
      </c>
      <c r="J283" s="6">
        <f>SUM('Model inputs'!J284,'Model inputs'!J285,'Model inputs'!J286)</f>
        <v>62.073684724249226</v>
      </c>
      <c r="K283" s="6">
        <f>SUM('Model inputs'!K284,'Model inputs'!K285,'Model inputs'!K286)</f>
        <v>85.7395145424405</v>
      </c>
      <c r="L283" s="6">
        <f>SUM('Model inputs'!L284,'Model inputs'!L285,'Model inputs'!L286)</f>
        <v>116.81217999319662</v>
      </c>
      <c r="M283" s="6">
        <f>SUM('Model inputs'!M284,'Model inputs'!M285,'Model inputs'!M286)</f>
        <v>157.67007422290553</v>
      </c>
      <c r="N283" s="6">
        <f>SUM('Model inputs'!N284,'Model inputs'!N285,'Model inputs'!N286)</f>
        <v>211.45223774935053</v>
      </c>
      <c r="O283" s="6">
        <f>SUM('Model inputs'!O284,'Model inputs'!O285,'Model inputs'!O286)</f>
        <v>282.30179019931353</v>
      </c>
      <c r="P283" s="6">
        <f>IF('Model inputs'!P80="","",'Model inputs'!P80)</f>
        <v>375.68725878475533</v>
      </c>
      <c r="Q283" s="6">
        <f>SUM('Model inputs'!Q284,'Model inputs'!Q285,'Model inputs'!Q286)</f>
        <v>0</v>
      </c>
      <c r="R283" s="6">
        <f>SUM('Model inputs'!R284,'Model inputs'!R285,'Model inputs'!R286)</f>
        <v>0</v>
      </c>
      <c r="S283" s="6">
        <f>SUM('Model inputs'!S284,'Model inputs'!S285,'Model inputs'!S286)</f>
        <v>0</v>
      </c>
      <c r="T283" s="6">
        <f>SUM('Model inputs'!T284,'Model inputs'!T285,'Model inputs'!T286)</f>
        <v>0</v>
      </c>
      <c r="U283" s="6">
        <f>SUM('Model inputs'!U284,'Model inputs'!U285,'Model inputs'!U286)</f>
        <v>0</v>
      </c>
      <c r="V283" s="6">
        <f>SUM('Model inputs'!V284,'Model inputs'!V285,'Model inputs'!V286)</f>
        <v>0</v>
      </c>
      <c r="W283" s="6">
        <f>SUM('Model inputs'!W284,'Model inputs'!W285,'Model inputs'!W286)</f>
        <v>0</v>
      </c>
      <c r="X283" s="6">
        <f>SUM('Model inputs'!X284,'Model inputs'!X285,'Model inputs'!X286)</f>
        <v>0</v>
      </c>
    </row>
    <row r="284" outlineLevel="1">
      <c r="A284" t="inlineStr" s="38">
        <is>
          <t xml:space="preserve">Paying customers &gt; Maintainer</t>
        </is>
      </c>
      <c r="D284" s="8">
        <f>'Model inputs'!D77</f>
        <v>0</v>
      </c>
      <c r="E284" s="8">
        <f>'Model inputs'!D284*(1-'Model inputs'!B238)+'Model inputs'!E265*'Model inputs'!B258</f>
        <v>2.5</v>
      </c>
      <c r="F284" s="8">
        <f>'Model inputs'!E284*(1-'Model inputs'!B238)+'Model inputs'!F265*'Model inputs'!B258</f>
        <v>5.65</v>
      </c>
      <c r="G284" s="8">
        <f>'Model inputs'!F284*(1-'Model inputs'!B238)+'Model inputs'!G265*'Model inputs'!B258</f>
        <v>9.667000000000002</v>
      </c>
      <c r="H284" s="8">
        <f>'Model inputs'!G284*(1-'Model inputs'!B238)+'Model inputs'!H265*'Model inputs'!B258</f>
        <v>14.8369</v>
      </c>
      <c r="I284" s="8">
        <f>'Model inputs'!H284*(1-'Model inputs'!B238)+'Model inputs'!I265*'Model inputs'!B258</f>
        <v>21.536580400000002</v>
      </c>
      <c r="J284" s="8">
        <f>'Model inputs'!I284*(1-'Model inputs'!B238)+'Model inputs'!J265*'Model inputs'!B258</f>
        <v>30.263046184000004</v>
      </c>
      <c r="K284" s="8">
        <f>'Model inputs'!J284*(1-'Model inputs'!B238)+'Model inputs'!K265*'Model inputs'!B258</f>
        <v>41.671895415520005</v>
      </c>
      <c r="L284" s="8">
        <f>'Model inputs'!K284*(1-'Model inputs'!B238)+'Model inputs'!L265*'Model inputs'!B258</f>
        <v>56.62809593396801</v>
      </c>
      <c r="M284" s="8">
        <f>'Model inputs'!L284*(1-'Model inputs'!B238)+'Model inputs'!M265*'Model inputs'!B258</f>
        <v>76.27300897919048</v>
      </c>
      <c r="N284" s="8">
        <f>'Model inputs'!M284*(1-'Model inputs'!B238)+'Model inputs'!N265*'Model inputs'!B258</f>
        <v>102.11285885810297</v>
      </c>
      <c r="O284" s="8">
        <f>'Model inputs'!N284*(1-'Model inputs'!B238)+'Model inputs'!O265*'Model inputs'!B258</f>
        <v>136.13551147793316</v>
      </c>
      <c r="P284" s="8">
        <f>IF('Model inputs'!P81="","",'Model inputs'!P81)</f>
        <v>180.9646206689948</v>
      </c>
      <c r="Q284" s="8">
        <f>'Model inputs'!Q292</f>
        <v>0</v>
      </c>
      <c r="R284" s="8">
        <f>'Model inputs'!R292</f>
        <v>0</v>
      </c>
      <c r="S284" s="8">
        <f>'Model inputs'!S292</f>
        <v>0</v>
      </c>
      <c r="T284" s="8">
        <f>'Model inputs'!T292</f>
        <v>0</v>
      </c>
      <c r="U284" s="8">
        <f>'Model inputs'!U292</f>
        <v>0</v>
      </c>
      <c r="V284" s="8">
        <f>'Model inputs'!V292</f>
        <v>0</v>
      </c>
      <c r="W284" s="8">
        <f>'Model inputs'!W292</f>
        <v>0</v>
      </c>
      <c r="X284" s="8">
        <f>'Model inputs'!X292</f>
        <v>0</v>
      </c>
    </row>
    <row r="285" outlineLevel="1">
      <c r="A285" t="inlineStr" s="38">
        <is>
          <t xml:space="preserve">Paying customers &gt; Starter</t>
        </is>
      </c>
      <c r="D285" s="8">
        <f>'Model inputs'!D78</f>
        <v>0</v>
      </c>
      <c r="E285" s="8">
        <f>'Model inputs'!D285*(1-'Model inputs'!B239)+'Model inputs'!E265*'Model inputs'!B259</f>
        <v>1.75</v>
      </c>
      <c r="F285" s="8">
        <f>'Model inputs'!E285*(1-'Model inputs'!B239)+'Model inputs'!F265*'Model inputs'!B259</f>
        <v>3.9987500000000002</v>
      </c>
      <c r="G285" s="8">
        <f>'Model inputs'!F285*(1-'Model inputs'!B239)+'Model inputs'!G265*'Model inputs'!B259</f>
        <v>6.907993750000001</v>
      </c>
      <c r="H285" s="8">
        <f>'Model inputs'!G285*(1-'Model inputs'!B239)+'Model inputs'!H265*'Model inputs'!B259</f>
        <v>10.691157968750002</v>
      </c>
      <c r="I285" s="8">
        <f>'Model inputs'!H285*(1-'Model inputs'!B239)+'Model inputs'!I265*'Model inputs'!B259</f>
        <v>15.629893519843751</v>
      </c>
      <c r="J285" s="8">
        <f>'Model inputs'!I285*(1-'Model inputs'!B239)+'Model inputs'!J265*'Model inputs'!B259</f>
        <v>22.09590967224922</v>
      </c>
      <c r="K285" s="8">
        <f>'Model inputs'!J285*(1-'Model inputs'!B239)+'Model inputs'!K265*'Model inputs'!B259</f>
        <v>30.5797952355125</v>
      </c>
      <c r="L285" s="8">
        <f>'Model inputs'!K285*(1-'Model inputs'!B239)+'Model inputs'!L265*'Model inputs'!B259</f>
        <v>41.729062372635006</v>
      </c>
      <c r="M285" s="8">
        <f>'Model inputs'!L285*(1-'Model inputs'!B239)+'Model inputs'!M265*'Model inputs'!B259</f>
        <v>56.39836435047516</v>
      </c>
      <c r="N285" s="8">
        <f>'Model inputs'!M285*(1-'Model inputs'!B239)+'Model inputs'!N265*'Model inputs'!B259</f>
        <v>75.71578289057328</v>
      </c>
      <c r="O285" s="8">
        <f>'Model inputs'!N285*(1-'Model inputs'!B239)+'Model inputs'!O265*'Model inputs'!B259</f>
        <v>101.17032739532468</v>
      </c>
      <c r="P285" s="8">
        <f>IF('Model inputs'!P82="","",'Model inputs'!P82)</f>
        <v>134.72743385230467</v>
      </c>
      <c r="Q285" s="8">
        <f>'Model inputs'!Q293</f>
        <v>0</v>
      </c>
      <c r="R285" s="8">
        <f>'Model inputs'!R293</f>
        <v>0</v>
      </c>
      <c r="S285" s="8">
        <f>'Model inputs'!S293</f>
        <v>0</v>
      </c>
      <c r="T285" s="8">
        <f>'Model inputs'!T293</f>
        <v>0</v>
      </c>
      <c r="U285" s="8">
        <f>'Model inputs'!U293</f>
        <v>0</v>
      </c>
      <c r="V285" s="8">
        <f>'Model inputs'!V293</f>
        <v>0</v>
      </c>
      <c r="W285" s="8">
        <f>'Model inputs'!W293</f>
        <v>0</v>
      </c>
      <c r="X285" s="8">
        <f>'Model inputs'!X293</f>
        <v>0</v>
      </c>
    </row>
    <row r="286" outlineLevel="1">
      <c r="A286" t="inlineStr" s="38">
        <is>
          <t xml:space="preserve">Paying customers &gt; Team</t>
        </is>
      </c>
      <c r="D286" s="8">
        <f>'Model inputs'!D79</f>
        <v>0</v>
      </c>
      <c r="E286" s="8">
        <f>'Model inputs'!D286*(1-'Model inputs'!B240)+'Model inputs'!E265*'Model inputs'!B260</f>
        <v>0.75</v>
      </c>
      <c r="F286" s="8">
        <f>'Model inputs'!E286*(1-'Model inputs'!B240)+'Model inputs'!F265*'Model inputs'!B260</f>
        <v>1.725</v>
      </c>
      <c r="G286" s="8">
        <f>'Model inputs'!F286*(1-'Model inputs'!B240)+'Model inputs'!G265*'Model inputs'!B260</f>
        <v>2.9973</v>
      </c>
      <c r="H286" s="8">
        <f>'Model inputs'!G286*(1-'Model inputs'!B240)+'Model inputs'!H265*'Model inputs'!B260</f>
        <v>4.66233</v>
      </c>
      <c r="I286" s="8">
        <f>'Model inputs'!H286*(1-'Model inputs'!B240)+'Model inputs'!I265*'Model inputs'!B260</f>
        <v>6.84605172</v>
      </c>
      <c r="J286" s="8">
        <f>'Model inputs'!I286*(1-'Model inputs'!B240)+'Model inputs'!J265*'Model inputs'!B260</f>
        <v>9.714728868000002</v>
      </c>
      <c r="K286" s="8">
        <f>'Model inputs'!J286*(1-'Model inputs'!B240)+'Model inputs'!K265*'Model inputs'!B260</f>
        <v>13.487823891408002</v>
      </c>
      <c r="L286" s="8">
        <f>'Model inputs'!K286*(1-'Model inputs'!B240)+'Model inputs'!L265*'Model inputs'!B260</f>
        <v>18.455021686593604</v>
      </c>
      <c r="M286" s="8">
        <f>'Model inputs'!L286*(1-'Model inputs'!B240)+'Model inputs'!M265*'Model inputs'!B260</f>
        <v>24.998700893239896</v>
      </c>
      <c r="N286" s="8">
        <f>'Model inputs'!M286*(1-'Model inputs'!B240)+'Model inputs'!N265*'Model inputs'!B260</f>
        <v>33.623596000674276</v>
      </c>
      <c r="O286" s="8">
        <f>'Model inputs'!N286*(1-'Model inputs'!B240)+'Model inputs'!O265*'Model inputs'!B260</f>
        <v>44.9959513260557</v>
      </c>
      <c r="P286" s="8">
        <f>IF('Model inputs'!P83="","",'Model inputs'!P83)</f>
        <v>59.995204263455875</v>
      </c>
      <c r="Q286" s="8">
        <f>'Model inputs'!Q294</f>
        <v>0</v>
      </c>
      <c r="R286" s="8">
        <f>'Model inputs'!R294</f>
        <v>0</v>
      </c>
      <c r="S286" s="8">
        <f>'Model inputs'!S294</f>
        <v>0</v>
      </c>
      <c r="T286" s="8">
        <f>'Model inputs'!T294</f>
        <v>0</v>
      </c>
      <c r="U286" s="8">
        <f>'Model inputs'!U294</f>
        <v>0</v>
      </c>
      <c r="V286" s="8">
        <f>'Model inputs'!V294</f>
        <v>0</v>
      </c>
      <c r="W286" s="8">
        <f>'Model inputs'!W294</f>
        <v>0</v>
      </c>
      <c r="X286" s="8">
        <f>'Model inputs'!X294</f>
        <v>0</v>
      </c>
    </row>
    <row r="287">
      <c r="A287" t="inlineStr" s="37">
        <is>
          <t xml:space="preserve">Paying customers</t>
        </is>
      </c>
      <c r="D287" s="6">
        <f>SUM('Model inputs'!D288,'Model inputs'!D289,'Model inputs'!D290)</f>
        <v>0</v>
      </c>
      <c r="E287" s="6">
        <f>SUM('Model inputs'!E288,'Model inputs'!E289,'Model inputs'!E290)</f>
        <v>1.5</v>
      </c>
      <c r="F287" s="6">
        <f>SUM('Model inputs'!F288,'Model inputs'!F289,'Model inputs'!F290)</f>
        <v>3.0817499999999995</v>
      </c>
      <c r="G287" s="6">
        <f>SUM('Model inputs'!G288,'Model inputs'!G289,'Model inputs'!G290)</f>
        <v>4.772234999999999</v>
      </c>
      <c r="H287" s="6">
        <f>SUM('Model inputs'!H288,'Model inputs'!H289,'Model inputs'!H290)</f>
        <v>6.600894824999998</v>
      </c>
      <c r="I287" s="6">
        <f>SUM('Model inputs'!I288,'Model inputs'!I289,'Model inputs'!I290)</f>
        <v>8.600170778999997</v>
      </c>
      <c r="J287" s="6">
        <f>SUM('Model inputs'!J288,'Model inputs'!J289,'Model inputs'!J290)</f>
        <v>10.806113844067497</v>
      </c>
      <c r="K287" s="6">
        <f>SUM('Model inputs'!K288,'Model inputs'!K289,'Model inputs'!K290)</f>
        <v>13.259066036861846</v>
      </c>
      <c r="L287" s="6">
        <f>SUM('Model inputs'!L288,'Model inputs'!L289,'Model inputs'!L290)</f>
        <v>16.00442799693881</v>
      </c>
      <c r="M287" s="6">
        <f>SUM('Model inputs'!M288,'Model inputs'!M289,'Model inputs'!M290)</f>
        <v>19.09352759552103</v>
      </c>
      <c r="N287" s="6">
        <f>SUM('Model inputs'!N288,'Model inputs'!N289,'Model inputs'!N290)</f>
        <v>22.584606354134316</v>
      </c>
      <c r="O287" s="6">
        <f>SUM('Model inputs'!O288,'Model inputs'!O289,'Model inputs'!O290)</f>
        <v>26.543942789057553</v>
      </c>
      <c r="P287" s="6">
        <f>IF('Model inputs'!P84="","",'Model inputs'!P84)</f>
        <v>31.047134495734607</v>
      </c>
      <c r="Q287" s="6">
        <f>SUM('Model inputs'!Q288,'Model inputs'!Q289,'Model inputs'!Q290)</f>
        <v>0</v>
      </c>
      <c r="R287" s="6">
        <f>SUM('Model inputs'!R288,'Model inputs'!R289,'Model inputs'!R290)</f>
        <v>0</v>
      </c>
      <c r="S287" s="6">
        <f>SUM('Model inputs'!S288,'Model inputs'!S289,'Model inputs'!S290)</f>
        <v>0</v>
      </c>
      <c r="T287" s="6">
        <f>SUM('Model inputs'!T288,'Model inputs'!T289,'Model inputs'!T290)</f>
        <v>0</v>
      </c>
      <c r="U287" s="6">
        <f>SUM('Model inputs'!U288,'Model inputs'!U289,'Model inputs'!U290)</f>
        <v>0</v>
      </c>
      <c r="V287" s="6">
        <f>SUM('Model inputs'!V288,'Model inputs'!V289,'Model inputs'!V290)</f>
        <v>0</v>
      </c>
      <c r="W287" s="6">
        <f>SUM('Model inputs'!W288,'Model inputs'!W289,'Model inputs'!W290)</f>
        <v>0</v>
      </c>
      <c r="X287" s="6">
        <f>SUM('Model inputs'!X288,'Model inputs'!X289,'Model inputs'!X290)</f>
        <v>0</v>
      </c>
    </row>
    <row r="288" outlineLevel="1">
      <c r="A288" t="inlineStr" s="38">
        <is>
          <t xml:space="preserve">Paying customers &gt; Maintainer</t>
        </is>
      </c>
      <c r="D288" s="8">
        <f>'Model inputs'!D77</f>
        <v>0</v>
      </c>
      <c r="E288" s="8">
        <f>'Model inputs'!D288*(1-'Model inputs'!B242)+'Model inputs'!E266*'Model inputs'!B262</f>
        <v>0.75</v>
      </c>
      <c r="F288" s="8">
        <f>'Model inputs'!E288*(1-'Model inputs'!B242)+'Model inputs'!F266*'Model inputs'!B262</f>
        <v>1.5225</v>
      </c>
      <c r="G288" s="8">
        <f>'Model inputs'!F288*(1-'Model inputs'!B242)+'Model inputs'!G266*'Model inputs'!B262</f>
        <v>2.3316749999999997</v>
      </c>
      <c r="H288" s="8">
        <f>'Model inputs'!G288*(1-'Model inputs'!B242)+'Model inputs'!H266*'Model inputs'!B262</f>
        <v>3.1925302499999995</v>
      </c>
      <c r="I288" s="8">
        <f>'Model inputs'!H288*(1-'Model inputs'!B242)+'Model inputs'!I266*'Model inputs'!B262</f>
        <v>4.121181307499999</v>
      </c>
      <c r="J288" s="8">
        <f>'Model inputs'!I288*(1-'Model inputs'!B242)+'Model inputs'!J266*'Model inputs'!B262</f>
        <v>5.135157441224998</v>
      </c>
      <c r="K288" s="8">
        <f>'Model inputs'!J288*(1-'Model inputs'!B242)+'Model inputs'!K266*'Model inputs'!B262</f>
        <v>6.2537341224967475</v>
      </c>
      <c r="L288" s="8">
        <f>'Model inputs'!K288*(1-'Model inputs'!B242)+'Model inputs'!L266*'Model inputs'!B262</f>
        <v>7.4983009381487</v>
      </c>
      <c r="M288" s="8">
        <f>'Model inputs'!L288*(1-'Model inputs'!B242)+'Model inputs'!M266*'Model inputs'!B262</f>
        <v>8.89277197247515</v>
      </c>
      <c r="N288" s="8">
        <f>'Model inputs'!M288*(1-'Model inputs'!B242)+'Model inputs'!N266*'Model inputs'!B262</f>
        <v>10.464046554718074</v>
      </c>
      <c r="O288" s="8">
        <f>'Model inputs'!N288*(1-'Model inputs'!B242)+'Model inputs'!O266*'Model inputs'!B262</f>
        <v>12.242529269932835</v>
      </c>
      <c r="P288" s="8">
        <f>IF('Model inputs'!P85="","",'Model inputs'!P85)</f>
        <v>14.262719304588963</v>
      </c>
      <c r="Q288" s="8">
        <f>'Model inputs'!Q292</f>
        <v>0</v>
      </c>
      <c r="R288" s="8">
        <f>'Model inputs'!R292</f>
        <v>0</v>
      </c>
      <c r="S288" s="8">
        <f>'Model inputs'!S292</f>
        <v>0</v>
      </c>
      <c r="T288" s="8">
        <f>'Model inputs'!T292</f>
        <v>0</v>
      </c>
      <c r="U288" s="8">
        <f>'Model inputs'!U292</f>
        <v>0</v>
      </c>
      <c r="V288" s="8">
        <f>'Model inputs'!V292</f>
        <v>0</v>
      </c>
      <c r="W288" s="8">
        <f>'Model inputs'!W292</f>
        <v>0</v>
      </c>
      <c r="X288" s="8">
        <f>'Model inputs'!X292</f>
        <v>0</v>
      </c>
    </row>
    <row r="289" outlineLevel="1">
      <c r="A289" t="inlineStr" s="38">
        <is>
          <t xml:space="preserve">Paying customers &gt; Starter</t>
        </is>
      </c>
      <c r="D289" s="8">
        <f>'Model inputs'!D78</f>
        <v>0</v>
      </c>
      <c r="E289" s="8">
        <f>'Model inputs'!D289*(1-'Model inputs'!B243)+'Model inputs'!E266*'Model inputs'!B263</f>
        <v>0.5249999999999999</v>
      </c>
      <c r="F289" s="8">
        <f>'Model inputs'!E289*(1-'Model inputs'!B243)+'Model inputs'!F266*'Model inputs'!B263</f>
        <v>1.0867499999999999</v>
      </c>
      <c r="G289" s="8">
        <f>'Model inputs'!F289*(1-'Model inputs'!B243)+'Model inputs'!G266*'Model inputs'!B263</f>
        <v>1.6941224999999998</v>
      </c>
      <c r="H289" s="8">
        <f>'Model inputs'!G289*(1-'Model inputs'!B243)+'Model inputs'!H266*'Model inputs'!B263</f>
        <v>2.3570520749999995</v>
      </c>
      <c r="I289" s="8">
        <f>'Model inputs'!H289*(1-'Model inputs'!B243)+'Model inputs'!I266*'Model inputs'!B263</f>
        <v>3.0867161902499993</v>
      </c>
      <c r="J289" s="8">
        <f>'Model inputs'!I289*(1-'Model inputs'!B243)+'Model inputs'!J266*'Model inputs'!B263</f>
        <v>3.895741418467499</v>
      </c>
      <c r="K289" s="8">
        <f>'Model inputs'!J289*(1-'Model inputs'!B243)+'Model inputs'!K266*'Model inputs'!B263</f>
        <v>4.798439006943224</v>
      </c>
      <c r="L289" s="8">
        <f>'Model inputs'!K289*(1-'Model inputs'!B243)+'Model inputs'!L266*'Model inputs'!B263</f>
        <v>5.811074323633859</v>
      </c>
      <c r="M289" s="8">
        <f>'Model inputs'!L289*(1-'Model inputs'!B243)+'Model inputs'!M266*'Model inputs'!B263</f>
        <v>6.952175380576157</v>
      </c>
      <c r="N289" s="8">
        <f>'Model inputs'!M289*(1-'Model inputs'!B243)+'Model inputs'!N266*'Model inputs'!B263</f>
        <v>8.242886403388022</v>
      </c>
      <c r="O289" s="8">
        <f>'Model inputs'!N289*(1-'Model inputs'!B243)+'Model inputs'!O266*'Model inputs'!B263</f>
        <v>9.707373302363631</v>
      </c>
      <c r="P289" s="8">
        <f>IF('Model inputs'!P86="","",'Model inputs'!P86)</f>
        <v>11.373288921108191</v>
      </c>
      <c r="Q289" s="8">
        <f>'Model inputs'!Q293</f>
        <v>0</v>
      </c>
      <c r="R289" s="8">
        <f>'Model inputs'!R293</f>
        <v>0</v>
      </c>
      <c r="S289" s="8">
        <f>'Model inputs'!S293</f>
        <v>0</v>
      </c>
      <c r="T289" s="8">
        <f>'Model inputs'!T293</f>
        <v>0</v>
      </c>
      <c r="U289" s="8">
        <f>'Model inputs'!U293</f>
        <v>0</v>
      </c>
      <c r="V289" s="8">
        <f>'Model inputs'!V293</f>
        <v>0</v>
      </c>
      <c r="W289" s="8">
        <f>'Model inputs'!W293</f>
        <v>0</v>
      </c>
      <c r="X289" s="8">
        <f>'Model inputs'!X293</f>
        <v>0</v>
      </c>
    </row>
    <row r="290" outlineLevel="1">
      <c r="A290" t="inlineStr" s="38">
        <is>
          <t xml:space="preserve">Paying customers &gt; Team</t>
        </is>
      </c>
      <c r="D290" s="8">
        <f>'Model inputs'!D79</f>
        <v>0</v>
      </c>
      <c r="E290" s="8">
        <f>'Model inputs'!D290*(1-'Model inputs'!B244)+'Model inputs'!E266*'Model inputs'!B264</f>
        <v>0.22499999999999998</v>
      </c>
      <c r="F290" s="8">
        <f>'Model inputs'!E290*(1-'Model inputs'!B244)+'Model inputs'!F266*'Model inputs'!B264</f>
        <v>0.4724999999999999</v>
      </c>
      <c r="G290" s="8">
        <f>'Model inputs'!F290*(1-'Model inputs'!B244)+'Model inputs'!G266*'Model inputs'!B264</f>
        <v>0.7464374999999999</v>
      </c>
      <c r="H290" s="8">
        <f>'Model inputs'!G290*(1-'Model inputs'!B244)+'Model inputs'!H266*'Model inputs'!B264</f>
        <v>1.0513124999999997</v>
      </c>
      <c r="I290" s="8">
        <f>'Model inputs'!H290*(1-'Model inputs'!B244)+'Model inputs'!I266*'Model inputs'!B264</f>
        <v>1.3922732812499996</v>
      </c>
      <c r="J290" s="8">
        <f>'Model inputs'!I290*(1-'Model inputs'!B244)+'Model inputs'!J266*'Model inputs'!B264</f>
        <v>1.7752149843749994</v>
      </c>
      <c r="K290" s="8">
        <f>'Model inputs'!J290*(1-'Model inputs'!B244)+'Model inputs'!K266*'Model inputs'!B264</f>
        <v>2.206892907421874</v>
      </c>
      <c r="L290" s="8">
        <f>'Model inputs'!K290*(1-'Model inputs'!B244)+'Model inputs'!L266*'Model inputs'!B264</f>
        <v>2.6950527351562483</v>
      </c>
      <c r="M290" s="8">
        <f>'Model inputs'!L290*(1-'Model inputs'!B244)+'Model inputs'!M266*'Model inputs'!B264</f>
        <v>3.2485802424697243</v>
      </c>
      <c r="N290" s="8">
        <f>'Model inputs'!M290*(1-'Model inputs'!B244)+'Model inputs'!N266*'Model inputs'!B264</f>
        <v>3.87767339602822</v>
      </c>
      <c r="O290" s="8">
        <f>'Model inputs'!N290*(1-'Model inputs'!B244)+'Model inputs'!O266*'Model inputs'!B264</f>
        <v>4.594040216761088</v>
      </c>
      <c r="P290" s="8">
        <f>IF('Model inputs'!P87="","",'Model inputs'!P87)</f>
        <v>5.411126270037454</v>
      </c>
      <c r="Q290" s="8">
        <f>'Model inputs'!Q294</f>
        <v>0</v>
      </c>
      <c r="R290" s="8">
        <f>'Model inputs'!R294</f>
        <v>0</v>
      </c>
      <c r="S290" s="8">
        <f>'Model inputs'!S294</f>
        <v>0</v>
      </c>
      <c r="T290" s="8">
        <f>'Model inputs'!T294</f>
        <v>0</v>
      </c>
      <c r="U290" s="8">
        <f>'Model inputs'!U294</f>
        <v>0</v>
      </c>
      <c r="V290" s="8">
        <f>'Model inputs'!V294</f>
        <v>0</v>
      </c>
      <c r="W290" s="8">
        <f>'Model inputs'!W294</f>
        <v>0</v>
      </c>
      <c r="X290" s="8">
        <f>'Model inputs'!X294</f>
        <v>0</v>
      </c>
    </row>
    <row r="291">
      <c r="A291" t="inlineStr" s="37">
        <is>
          <t xml:space="preserve">Paying customers</t>
        </is>
      </c>
      <c r="D291" s="6">
        <f>IF('Model inputs'!D76="","",'Model inputs'!D76)</f>
        <v>0</v>
      </c>
      <c r="E291" s="6">
        <f>IF('Model inputs'!E76="","",'Model inputs'!E76)</f>
        <v>3</v>
      </c>
      <c r="F291" s="6">
        <f>IF('Model inputs'!F76="","",'Model inputs'!F76)</f>
        <v>6.563999999999999</v>
      </c>
      <c r="G291" s="6">
        <f>IF('Model inputs'!G76="","",'Model inputs'!G76)</f>
        <v>10.84563</v>
      </c>
      <c r="H291" s="6">
        <f>IF('Model inputs'!H76="","",'Model inputs'!H76)</f>
        <v>16.036016099999998</v>
      </c>
      <c r="I291" s="6">
        <f>IF('Model inputs'!I76="","",'Model inputs'!I76)</f>
        <v>22.373222892</v>
      </c>
      <c r="J291" s="6">
        <f>IF('Model inputs'!J76="","",'Model inputs'!J76)</f>
        <v>30.154051195740003</v>
      </c>
      <c r="K291" s="6">
        <f>IF('Model inputs'!K76="","",'Model inputs'!K76)</f>
        <v>39.7487803840653</v>
      </c>
      <c r="L291" s="6">
        <f>IF('Model inputs'!L76="","",'Model inputs'!L76)</f>
        <v>51.619591822986294</v>
      </c>
      <c r="M291" s="6">
        <f>IF('Model inputs'!M76="","",'Model inputs'!M76)</f>
        <v>66.34359405303968</v>
      </c>
      <c r="N291" s="6">
        <f>IF('Model inputs'!N76="","",'Model inputs'!N76)</f>
        <v>84.64160046783483</v>
      </c>
      <c r="O291" s="6">
        <f>IF('Model inputs'!O76="","",'Model inputs'!O76)</f>
        <v>107.414097909432</v>
      </c>
      <c r="P291" s="6">
        <f>IF('Model inputs'!P76="","",'Model inputs'!P76)</f>
        <v>135.78620418189854</v>
      </c>
      <c r="Q291" s="6">
        <f>SUM('Model inputs'!Q292,'Model inputs'!Q293,'Model inputs'!Q294)</f>
        <v>0</v>
      </c>
      <c r="R291" s="6">
        <f>SUM('Model inputs'!R292,'Model inputs'!R293,'Model inputs'!R294)</f>
        <v>0</v>
      </c>
      <c r="S291" s="6">
        <f>SUM('Model inputs'!S292,'Model inputs'!S293,'Model inputs'!S294)</f>
        <v>0</v>
      </c>
      <c r="T291" s="6">
        <f>SUM('Model inputs'!T292,'Model inputs'!T293,'Model inputs'!T294)</f>
        <v>0</v>
      </c>
      <c r="U291" s="6">
        <f>SUM('Model inputs'!U292,'Model inputs'!U293,'Model inputs'!U294)</f>
        <v>0</v>
      </c>
      <c r="V291" s="6">
        <f>SUM('Model inputs'!V292,'Model inputs'!V293,'Model inputs'!V294)</f>
        <v>0</v>
      </c>
      <c r="W291" s="6">
        <f>SUM('Model inputs'!W292,'Model inputs'!W293,'Model inputs'!W294)</f>
        <v>0</v>
      </c>
      <c r="X291" s="6">
        <f>SUM('Model inputs'!X292,'Model inputs'!X293,'Model inputs'!X294)</f>
        <v>0</v>
      </c>
    </row>
    <row r="292" outlineLevel="1">
      <c r="A292" t="inlineStr" s="38">
        <is>
          <t xml:space="preserve">Paying customers &gt; Maintainer</t>
        </is>
      </c>
      <c r="D292" s="8">
        <f>IF('Model inputs'!D77="","",'Model inputs'!D77)</f>
        <v>0</v>
      </c>
      <c r="E292" s="8">
        <f>IF('Model inputs'!E77="","",'Model inputs'!E77)</f>
        <v>1.5</v>
      </c>
      <c r="F292" s="8">
        <f>IF('Model inputs'!F77="","",'Model inputs'!F77)</f>
        <v>3.255</v>
      </c>
      <c r="G292" s="8">
        <f>IF('Model inputs'!G77="","",'Model inputs'!G77)</f>
        <v>5.33835</v>
      </c>
      <c r="H292" s="8">
        <f>IF('Model inputs'!H77="","",'Model inputs'!H77)</f>
        <v>7.8409695</v>
      </c>
      <c r="I292" s="8">
        <f>IF('Model inputs'!I77="","",'Model inputs'!I77)</f>
        <v>10.875801315</v>
      </c>
      <c r="J292" s="8">
        <f>IF('Model inputs'!J77="","",'Model inputs'!J77)</f>
        <v>14.583373928550001</v>
      </c>
      <c r="K292" s="8">
        <f>IF('Model inputs'!K77="","",'Model inputs'!K77)</f>
        <v>19.138749912703503</v>
      </c>
      <c r="L292" s="8">
        <f>IF('Model inputs'!L77="","",'Model inputs'!L77)</f>
        <v>24.760207292734098</v>
      </c>
      <c r="M292" s="8">
        <f>IF('Model inputs'!M77="","",'Model inputs'!M77)</f>
        <v>31.720087425623966</v>
      </c>
      <c r="N292" s="8">
        <f>IF('Model inputs'!N77="","",'Model inputs'!N77)</f>
        <v>40.35835132695979</v>
      </c>
      <c r="O292" s="8">
        <f>IF('Model inputs'!O77="","",'Model inputs'!O77)</f>
        <v>51.09952184003519</v>
      </c>
      <c r="P292" s="8">
        <f>IF('Model inputs'!P77="","",'Model inputs'!P77)</f>
        <v>64.4738583668726</v>
      </c>
      <c r="Q292" s="8">
        <f>0</f>
        <v>0</v>
      </c>
      <c r="R292" s="8">
        <f>0</f>
        <v>0</v>
      </c>
      <c r="S292" s="8">
        <f>0</f>
        <v>0</v>
      </c>
      <c r="T292" s="8">
        <f>0</f>
        <v>0</v>
      </c>
      <c r="U292" s="8">
        <f>0</f>
        <v>0</v>
      </c>
      <c r="V292" s="8">
        <f>0</f>
        <v>0</v>
      </c>
      <c r="W292" s="8">
        <f>0</f>
        <v>0</v>
      </c>
      <c r="X292" s="8">
        <f>0</f>
        <v>0</v>
      </c>
    </row>
    <row r="293" outlineLevel="1">
      <c r="A293" t="inlineStr" s="38">
        <is>
          <t xml:space="preserve">Paying customers &gt; Starter</t>
        </is>
      </c>
      <c r="D293" s="8">
        <f>IF('Model inputs'!D78="","",'Model inputs'!D78)</f>
        <v>0</v>
      </c>
      <c r="E293" s="8">
        <f>IF('Model inputs'!E78="","",'Model inputs'!E78)</f>
        <v>1.0499999999999998</v>
      </c>
      <c r="F293" s="8">
        <f>IF('Model inputs'!F78="","",'Model inputs'!F78)</f>
        <v>2.3099999999999996</v>
      </c>
      <c r="G293" s="8">
        <f>IF('Model inputs'!G78="","",'Model inputs'!G78)</f>
        <v>3.8351249999999997</v>
      </c>
      <c r="H293" s="8">
        <f>IF('Model inputs'!H78="","",'Model inputs'!H78)</f>
        <v>5.69415</v>
      </c>
      <c r="I293" s="8">
        <f>IF('Model inputs'!I78="","",'Model inputs'!I78)</f>
        <v>7.972919062499999</v>
      </c>
      <c r="J293" s="8">
        <f>IF('Model inputs'!J78="","",'Model inputs'!J78)</f>
        <v>10.7786188125</v>
      </c>
      <c r="K293" s="8">
        <f>IF('Model inputs'!K78="","",'Model inputs'!K78)</f>
        <v>14.245120000781249</v>
      </c>
      <c r="L293" s="8">
        <f>IF('Model inputs'!L78="","",'Model inputs'!L78)</f>
        <v>18.539654161875</v>
      </c>
      <c r="M293" s="8">
        <f>IF('Model inputs'!M78="","",'Model inputs'!M78)</f>
        <v>23.871159155197265</v>
      </c>
      <c r="N293" s="8">
        <f>IF('Model inputs'!N78="","",'Model inputs'!N78)</f>
        <v>30.50071082420742</v>
      </c>
      <c r="O293" s="8">
        <f>IF('Model inputs'!O78="","",'Model inputs'!O78)</f>
        <v>38.75456231645957</v>
      </c>
      <c r="P293" s="8">
        <f>IF('Model inputs'!P78="","",'Model inputs'!P78)</f>
        <v>49.04044299246475</v>
      </c>
      <c r="Q293" s="8">
        <f>0</f>
        <v>0</v>
      </c>
      <c r="R293" s="8">
        <f>0</f>
        <v>0</v>
      </c>
      <c r="S293" s="8">
        <f>0</f>
        <v>0</v>
      </c>
      <c r="T293" s="8">
        <f>0</f>
        <v>0</v>
      </c>
      <c r="U293" s="8">
        <f>0</f>
        <v>0</v>
      </c>
      <c r="V293" s="8">
        <f>0</f>
        <v>0</v>
      </c>
      <c r="W293" s="8">
        <f>0</f>
        <v>0</v>
      </c>
      <c r="X293" s="8">
        <f>0</f>
        <v>0</v>
      </c>
    </row>
    <row r="294" outlineLevel="1">
      <c r="A294" t="inlineStr" s="38">
        <is>
          <t xml:space="preserve">Paying customers &gt; Team</t>
        </is>
      </c>
      <c r="D294" s="8">
        <f>IF('Model inputs'!D79="","",'Model inputs'!D79)</f>
        <v>0</v>
      </c>
      <c r="E294" s="8">
        <f>IF('Model inputs'!E79="","",'Model inputs'!E79)</f>
        <v>0.44999999999999996</v>
      </c>
      <c r="F294" s="8">
        <f>IF('Model inputs'!F79="","",'Model inputs'!F79)</f>
        <v>0.9989999999999999</v>
      </c>
      <c r="G294" s="8">
        <f>IF('Model inputs'!G79="","",'Model inputs'!G79)</f>
        <v>1.6721549999999998</v>
      </c>
      <c r="H294" s="8">
        <f>IF('Model inputs'!H79="","",'Model inputs'!H79)</f>
        <v>2.5008966</v>
      </c>
      <c r="I294" s="8">
        <f>IF('Model inputs'!I79="","",'Model inputs'!I79)</f>
        <v>3.5245025145</v>
      </c>
      <c r="J294" s="8">
        <f>IF('Model inputs'!J79="","",'Model inputs'!J79)</f>
        <v>4.79205845469</v>
      </c>
      <c r="K294" s="8">
        <f>IF('Model inputs'!K79="","",'Model inputs'!K79)</f>
        <v>6.36491047058055</v>
      </c>
      <c r="L294" s="8">
        <f>IF('Model inputs'!L79="","",'Model inputs'!L79)</f>
        <v>8.319730368377195</v>
      </c>
      <c r="M294" s="8">
        <f>IF('Model inputs'!M79="","",'Model inputs'!M79)</f>
        <v>10.752347472218457</v>
      </c>
      <c r="N294" s="8">
        <f>IF('Model inputs'!N79="","",'Model inputs'!N79)</f>
        <v>13.782538316667626</v>
      </c>
      <c r="O294" s="8">
        <f>IF('Model inputs'!O79="","",'Model inputs'!O79)</f>
        <v>17.56001375293725</v>
      </c>
      <c r="P294" s="8">
        <f>IF('Model inputs'!P79="","",'Model inputs'!P79)</f>
        <v>22.271902822561202</v>
      </c>
      <c r="Q294" s="8">
        <f>0</f>
        <v>0</v>
      </c>
      <c r="R294" s="8">
        <f>0</f>
        <v>0</v>
      </c>
      <c r="S294" s="8">
        <f>0</f>
        <v>0</v>
      </c>
      <c r="T294" s="8">
        <f>0</f>
        <v>0</v>
      </c>
      <c r="U294" s="8">
        <f>0</f>
        <v>0</v>
      </c>
      <c r="V294" s="8">
        <f>0</f>
        <v>0</v>
      </c>
      <c r="W294" s="8">
        <f>0</f>
        <v>0</v>
      </c>
      <c r="X294" s="8">
        <f>0</f>
        <v>0</v>
      </c>
    </row>
    <row r="295">
      <c r="A295" t="inlineStr" s="37">
        <is>
          <t xml:space="preserve">Payment fee per charge · Payment processing cost · Optimistic · Optimistic</t>
        </is>
      </c>
      <c r="B295" s="8">
        <f>'Torque Assumptions · Growth &amp; o'!B14</f>
        <v>0.3</v>
      </c>
    </row>
    <row r="296">
      <c r="A296" t="inlineStr" s="37">
        <is>
          <t xml:space="preserve">Payment fee per charge · Payment processing cost · Conservative · Conservative</t>
        </is>
      </c>
      <c r="B296" s="8">
        <f>'Torque Assumptions · Growth &amp; o'!B14</f>
        <v>0.3</v>
      </c>
    </row>
    <row r="297">
      <c r="A297" t="inlineStr" s="37">
        <is>
          <t xml:space="preserve">Payment processing rate · Payment processing cost · Optimistic · Optimistic</t>
        </is>
      </c>
      <c r="B297" s="8">
        <f>'Torque Assumptions · Growth &amp; o'!B13</f>
        <v>0.029</v>
      </c>
    </row>
    <row r="298">
      <c r="A298" t="inlineStr" s="37">
        <is>
          <t xml:space="preserve">Payment processing rate · Payment processing cost · Conservative · Conservative</t>
        </is>
      </c>
      <c r="B298" s="8">
        <f>'Torque Assumptions · Growth &amp; o'!B13</f>
        <v>0.029</v>
      </c>
    </row>
    <row r="299">
      <c r="A299" t="inlineStr" s="37">
        <is>
          <t xml:space="preserve">Sandbox cost per run · Sandbox compute cost · Optimistic · Optimistic</t>
        </is>
      </c>
      <c r="B299" s="8">
        <f>'Model inputs'!B356*'Model inputs'!B336</f>
        <v>0.072</v>
      </c>
    </row>
    <row r="300">
      <c r="A300" t="inlineStr" s="37">
        <is>
          <t xml:space="preserve">Sandbox cost per run · Sandbox compute cost · Conservative · Conservative</t>
        </is>
      </c>
      <c r="B300" s="8">
        <f>'Model inputs'!B357*'Model inputs'!B337</f>
        <v>0.087</v>
      </c>
    </row>
    <row r="301">
      <c r="A301" t="inlineStr" s="37">
        <is>
          <t xml:space="preserve">Software and tools per month · Software and tools · Optimistic · Optimistic</t>
        </is>
      </c>
      <c r="B301" s="8">
        <f>'Torque Assumptions · Growth &amp; o'!B8</f>
        <v>200</v>
      </c>
    </row>
    <row r="302">
      <c r="A302" t="inlineStr" s="37">
        <is>
          <t xml:space="preserve">Software and tools per month · Software and tools · Conservative · Conservative</t>
        </is>
      </c>
      <c r="B302" s="8">
        <f>'Torque Assumptions · Growth &amp; o'!B8</f>
        <v>200</v>
      </c>
    </row>
    <row r="303">
      <c r="A303" t="inlineStr" s="37">
        <is>
          <t xml:space="preserve">Storage cost per run · Storage cost · Optimistic · Optimistic</t>
        </is>
      </c>
      <c r="B303" s="8">
        <f>'Torque Assumptions · Run cost a'!B16</f>
        <v>0.005</v>
      </c>
    </row>
    <row r="304">
      <c r="A304" t="inlineStr" s="37">
        <is>
          <t xml:space="preserve">Storage cost per run · Storage cost · Conservative · Conservative</t>
        </is>
      </c>
      <c r="B304" s="8">
        <f>'Torque Assumptions · Run cost a'!B16</f>
        <v>0.005</v>
      </c>
    </row>
    <row r="305">
      <c r="A305" t="inlineStr" s="37">
        <is>
          <t xml:space="preserve">Team expenses per month · Team expenses · Optimistic · Optimistic</t>
        </is>
      </c>
      <c r="B305" s="8">
        <f>'Torque Assumptions · Growth &amp; o'!B10</f>
        <v>0</v>
      </c>
    </row>
    <row r="306">
      <c r="A306" t="inlineStr" s="37">
        <is>
          <t xml:space="preserve">Team expenses per month · Team expenses · Conservative · Conservative</t>
        </is>
      </c>
      <c r="B306" s="8">
        <f>'Torque Assumptions · Growth &amp; o'!B10</f>
        <v>0</v>
      </c>
    </row>
    <row r="307">
      <c r="A307" t="inlineStr" s="37">
        <is>
          <t xml:space="preserve">Tracing cost per run neatlogs · Observability and context cost · Optimistic · Optimistic</t>
        </is>
      </c>
      <c r="B307" s="8">
        <f>'Torque Assumptions · Run cost a'!B14</f>
        <v>0.01</v>
      </c>
    </row>
    <row r="308">
      <c r="A308" t="inlineStr" s="37">
        <is>
          <t xml:space="preserve">Tracing cost per run neatlogs · Observability and context cost · Conservative · Conservative</t>
        </is>
      </c>
      <c r="B308" s="8">
        <f>'Torque Assumptions · Run cost a'!B14</f>
        <v>0.01</v>
      </c>
    </row>
    <row r="309">
      <c r="A309" t="inlineStr" s="37">
        <is>
          <t xml:space="preserve">Full allowance runs per customer</t>
        </is>
      </c>
      <c r="C309" s="6">
        <f>'Model inputs'!B169+'Model inputs'!B183</f>
        <v>0</v>
      </c>
    </row>
    <row r="310" outlineLevel="1">
      <c r="A310" t="inlineStr" s="38">
        <is>
          <t xml:space="preserve">Full allowance runs per customer &gt; Maintainer</t>
        </is>
      </c>
      <c r="C310" s="8">
        <f>'Model inputs'!B170+'Model inputs'!B184</f>
        <v>20.5</v>
      </c>
    </row>
    <row r="311" outlineLevel="1">
      <c r="A311" t="inlineStr" s="38">
        <is>
          <t xml:space="preserve">Full allowance runs per customer &gt; Starter</t>
        </is>
      </c>
      <c r="C311" s="8">
        <f>'Model inputs'!B171+'Model inputs'!B185</f>
        <v>63</v>
      </c>
    </row>
    <row r="312" outlineLevel="1">
      <c r="A312" t="inlineStr" s="38">
        <is>
          <t xml:space="preserve">Full allowance runs per customer &gt; Team</t>
        </is>
      </c>
      <c r="C312" s="8">
        <f>'Model inputs'!B172+'Model inputs'!B186</f>
        <v>265</v>
      </c>
    </row>
    <row r="313">
      <c r="A313" t="inlineStr" s="37">
        <is>
          <t xml:space="preserve">Revenue per customer</t>
        </is>
      </c>
      <c r="C313" s="6">
        <f>'Model inputs'!B175+'Model inputs'!B183*'Model inputs'!B179</f>
        <v>0</v>
      </c>
    </row>
    <row r="314" outlineLevel="1">
      <c r="A314" t="inlineStr" s="38">
        <is>
          <t xml:space="preserve">Revenue per customer &gt; Maintainer</t>
        </is>
      </c>
      <c r="C314" s="8">
        <f>'Model inputs'!B176+'Model inputs'!B184*'Model inputs'!B180</f>
        <v>30.25</v>
      </c>
    </row>
    <row r="315" outlineLevel="1">
      <c r="A315" t="inlineStr" s="38">
        <is>
          <t xml:space="preserve">Revenue per customer &gt; Starter</t>
        </is>
      </c>
      <c r="C315" s="8">
        <f>'Model inputs'!B177+'Model inputs'!B185*'Model inputs'!B181</f>
        <v>105.75</v>
      </c>
    </row>
    <row r="316" outlineLevel="1">
      <c r="A316" t="inlineStr" s="38">
        <is>
          <t xml:space="preserve">Revenue per customer &gt; Team</t>
        </is>
      </c>
      <c r="C316" s="8">
        <f>'Model inputs'!B178+'Model inputs'!B186*'Model inputs'!B182</f>
        <v>429</v>
      </c>
    </row>
    <row r="317">
      <c r="A317" t="inlineStr" s="37">
        <is>
          <t xml:space="preserve">Attempt equivalents per run · LLM cost per run · Monthly Financial Plan · Torque monthly financial plan</t>
        </is>
      </c>
      <c r="B317" s="8">
        <f>1+MIN('Model inputs'!C189,'Model inputs'!C197)*'Model inputs'!C195</f>
        <v>1.3</v>
      </c>
    </row>
    <row r="318">
      <c r="A318" t="inlineStr" s="37">
        <is>
          <t xml:space="preserve">Input token price per 1M · Unit Economics &amp; Sensitivity · Sensitivity: cost and margin stress tests</t>
        </is>
      </c>
      <c r="B318" s="8">
        <f>'Torque Assumptions · Run cost a'!B7</f>
        <v>3</v>
      </c>
    </row>
    <row r="319">
      <c r="A319" t="inlineStr" s="37">
        <is>
          <t xml:space="preserve">Input tokens per attempt · Unit Economics &amp; Sensitivity · Sensitivity: cost and margin stress tests</t>
        </is>
      </c>
      <c r="B319" s="8">
        <f>'Torque Assumptions · Run cost a'!B5</f>
        <v>150000</v>
      </c>
    </row>
    <row r="320">
      <c r="A320" t="inlineStr" s="37">
        <is>
          <t xml:space="preserve">Output token price per 1M · Unit Economics &amp; Sensitivity · Sensitivity: cost and margin stress tests</t>
        </is>
      </c>
      <c r="B320" s="8">
        <f>'Torque Assumptions · Run cost a'!B8</f>
        <v>15</v>
      </c>
    </row>
    <row r="321">
      <c r="A321" t="inlineStr" s="37">
        <is>
          <t xml:space="preserve">Output tokens per attempt · Unit Economics &amp; Sensitivity · Sensitivity: cost and margin stress tests</t>
        </is>
      </c>
      <c r="B321" s="8">
        <f>'Torque Assumptions · Run cost a'!B6</f>
        <v>20000</v>
      </c>
    </row>
    <row r="322">
      <c r="A322" t="inlineStr" s="37">
        <is>
          <t xml:space="preserve">Sandbox cost per minute · Unit Economics &amp; Sensitivity · Sensitivity: cost and margin stress tests</t>
        </is>
      </c>
      <c r="B322" s="8">
        <f>'Torque Assumptions · Run cost a'!B13</f>
        <v>0.004</v>
      </c>
    </row>
    <row r="323">
      <c r="A323" t="inlineStr" s="37">
        <is>
          <t xml:space="preserve">Sandbox minutes per attempt · Unit Economics &amp; Sensitivity · Sensitivity: cost and margin stress tests</t>
        </is>
      </c>
      <c r="B323" s="8">
        <f>'Torque Assumptions · Run cost a'!B12</f>
        <v>15</v>
      </c>
    </row>
    <row r="324">
      <c r="A324" t="inlineStr" s="37">
        <is>
          <t xml:space="preserve">Allowance used</t>
        </is>
      </c>
      <c r="C324" s="6">
        <v>0</v>
      </c>
    </row>
    <row r="325" outlineLevel="1">
      <c r="A325" t="inlineStr" s="38">
        <is>
          <t xml:space="preserve">Allowance used &gt; Maintainer</t>
        </is>
      </c>
      <c r="C325" s="8">
        <f>'Torque Assumptions · Tier prici'!E5</f>
        <v>0.55</v>
      </c>
    </row>
    <row r="326" outlineLevel="1">
      <c r="A326" t="inlineStr" s="38">
        <is>
          <t xml:space="preserve">Allowance used &gt; Starter</t>
        </is>
      </c>
      <c r="C326" s="8">
        <f>'Torque Assumptions · Tier prici'!E6</f>
        <v>0.6</v>
      </c>
    </row>
    <row r="327" outlineLevel="1">
      <c r="A327" t="inlineStr" s="38">
        <is>
          <t xml:space="preserve">Allowance used &gt; Team</t>
        </is>
      </c>
      <c r="C327" s="8">
        <f>'Torque Assumptions · Tier prici'!E7</f>
        <v>0.65</v>
      </c>
    </row>
    <row r="328">
      <c r="A328" t="inlineStr" s="37">
        <is>
          <t xml:space="preserve">Allowance used</t>
        </is>
      </c>
      <c r="B328" s="6">
        <v>0</v>
      </c>
    </row>
    <row r="329" outlineLevel="1">
      <c r="A329" t="inlineStr" s="38">
        <is>
          <t xml:space="preserve">Allowance used &gt; Maintainer</t>
        </is>
      </c>
      <c r="B329" s="8">
        <f>0.45</f>
        <v>0.45</v>
      </c>
    </row>
    <row r="330" outlineLevel="1">
      <c r="A330" t="inlineStr" s="38">
        <is>
          <t xml:space="preserve">Allowance used &gt; Starter</t>
        </is>
      </c>
      <c r="B330" s="8">
        <f>0.5</f>
        <v>0.5</v>
      </c>
    </row>
    <row r="331" outlineLevel="1">
      <c r="A331" t="inlineStr" s="38">
        <is>
          <t xml:space="preserve">Allowance used &gt; Team</t>
        </is>
      </c>
      <c r="B331" s="8">
        <f>0.55</f>
        <v>0.55</v>
      </c>
    </row>
    <row r="332">
      <c r="A332" t="inlineStr" s="37">
        <is>
          <t xml:space="preserve">Allowance used</t>
        </is>
      </c>
      <c r="B332" s="6">
        <v>0</v>
      </c>
    </row>
    <row r="333" outlineLevel="1">
      <c r="A333" t="inlineStr" s="38">
        <is>
          <t xml:space="preserve">Allowance used &gt; Maintainer</t>
        </is>
      </c>
      <c r="B333" s="8">
        <f>0.75</f>
        <v>0.75</v>
      </c>
    </row>
    <row r="334" outlineLevel="1">
      <c r="A334" t="inlineStr" s="38">
        <is>
          <t xml:space="preserve">Allowance used &gt; Starter</t>
        </is>
      </c>
      <c r="B334" s="8">
        <f>0.75</f>
        <v>0.75</v>
      </c>
    </row>
    <row r="335" outlineLevel="1">
      <c r="A335" t="inlineStr" s="38">
        <is>
          <t xml:space="preserve">Allowance used &gt; Team</t>
        </is>
      </c>
      <c r="B335" s="8">
        <f>0.8</f>
        <v>0.8</v>
      </c>
    </row>
    <row r="336">
      <c r="A336" t="inlineStr" s="37">
        <is>
          <t xml:space="preserve">Attempt equivalents per run · LLM cost per run · LLM token cost · Optimistic · Optimistic · Optimistic</t>
        </is>
      </c>
      <c r="B336" s="8">
        <f>1+MIN('Model inputs'!B370,'Model inputs'!B382)*'Model inputs'!B380</f>
        <v>1.2</v>
      </c>
    </row>
    <row r="337">
      <c r="A337" t="inlineStr" s="37">
        <is>
          <t xml:space="preserve">Attempt equivalents per run · LLM cost per run · LLM token cost · Conservative · Conservative · Conservative</t>
        </is>
      </c>
      <c r="B337" s="8">
        <f>1+MIN('Model inputs'!B371,'Model inputs'!B383)*'Model inputs'!B381</f>
        <v>1.45</v>
      </c>
    </row>
    <row r="338">
      <c r="A338" t="inlineStr" s="37">
        <is>
          <t xml:space="preserve">Included issue runs</t>
        </is>
      </c>
      <c r="C338" s="6">
        <v>0</v>
      </c>
    </row>
    <row r="339" outlineLevel="1">
      <c r="A339" t="inlineStr" s="38">
        <is>
          <t xml:space="preserve">Included issue runs &gt; Maintainer</t>
        </is>
      </c>
      <c r="C339" s="8">
        <f>'Torque Assumptions · Tier prici'!C5</f>
        <v>20</v>
      </c>
    </row>
    <row r="340" outlineLevel="1">
      <c r="A340" t="inlineStr" s="38">
        <is>
          <t xml:space="preserve">Included issue runs &gt; Starter</t>
        </is>
      </c>
      <c r="C340" s="8">
        <f>'Torque Assumptions · Tier prici'!C6</f>
        <v>60</v>
      </c>
    </row>
    <row r="341" outlineLevel="1">
      <c r="A341" t="inlineStr" s="38">
        <is>
          <t xml:space="preserve">Included issue runs &gt; Team</t>
        </is>
      </c>
      <c r="C341" s="8">
        <f>'Torque Assumptions · Tier prici'!C7</f>
        <v>250</v>
      </c>
    </row>
    <row r="342">
      <c r="A342" t="inlineStr" s="37">
        <is>
          <t xml:space="preserve">Included issue runs</t>
        </is>
      </c>
      <c r="B342" s="6">
        <v>0</v>
      </c>
    </row>
    <row r="343" outlineLevel="1">
      <c r="A343" t="inlineStr" s="38">
        <is>
          <t xml:space="preserve">Included issue runs &gt; Maintainer</t>
        </is>
      </c>
      <c r="B343" s="8">
        <f>'Torque Assumptions · Tier prici'!C5</f>
        <v>20</v>
      </c>
    </row>
    <row r="344" outlineLevel="1">
      <c r="A344" t="inlineStr" s="38">
        <is>
          <t xml:space="preserve">Included issue runs &gt; Starter</t>
        </is>
      </c>
      <c r="B344" s="8">
        <f>'Torque Assumptions · Tier prici'!C6</f>
        <v>60</v>
      </c>
    </row>
    <row r="345" outlineLevel="1">
      <c r="A345" t="inlineStr" s="38">
        <is>
          <t xml:space="preserve">Included issue runs &gt; Team</t>
        </is>
      </c>
      <c r="B345" s="8">
        <f>'Torque Assumptions · Tier prici'!C7</f>
        <v>250</v>
      </c>
    </row>
    <row r="346">
      <c r="A346" t="inlineStr" s="37">
        <is>
          <t xml:space="preserve">Included issue runs</t>
        </is>
      </c>
      <c r="B346" s="6">
        <v>0</v>
      </c>
    </row>
    <row r="347" outlineLevel="1">
      <c r="A347" t="inlineStr" s="38">
        <is>
          <t xml:space="preserve">Included issue runs &gt; Maintainer</t>
        </is>
      </c>
      <c r="B347" s="8">
        <f>'Torque Assumptions · Tier prici'!C5</f>
        <v>20</v>
      </c>
    </row>
    <row r="348" outlineLevel="1">
      <c r="A348" t="inlineStr" s="38">
        <is>
          <t xml:space="preserve">Included issue runs &gt; Starter</t>
        </is>
      </c>
      <c r="B348" s="8">
        <f>'Torque Assumptions · Tier prici'!C6</f>
        <v>60</v>
      </c>
    </row>
    <row r="349" outlineLevel="1">
      <c r="A349" t="inlineStr" s="38">
        <is>
          <t xml:space="preserve">Included issue runs &gt; Team</t>
        </is>
      </c>
      <c r="B349" s="8">
        <f>'Torque Assumptions · Tier prici'!C7</f>
        <v>250</v>
      </c>
    </row>
    <row r="350">
      <c r="A350" t="inlineStr" s="37">
        <is>
          <t xml:space="preserve">LLM cost per attempt · LLM cost per run · LLM token cost · Optimistic · Optimistic · Optimistic</t>
        </is>
      </c>
      <c r="B350" s="8">
        <f>('Model inputs'!B374*'Model inputs'!B372+'Model inputs'!B378*'Model inputs'!B376)/1000000</f>
        <v>0.66</v>
      </c>
    </row>
    <row r="351">
      <c r="A351" t="inlineStr" s="37">
        <is>
          <t xml:space="preserve">LLM cost per attempt · LLM cost per run · LLM token cost · Conservative · Conservative · Conservative</t>
        </is>
      </c>
      <c r="B351" s="8">
        <f>('Model inputs'!B375*'Model inputs'!B373+'Model inputs'!B379*'Model inputs'!B377)/1000000</f>
        <v>0.9</v>
      </c>
    </row>
    <row r="352">
      <c r="A352" t="inlineStr" s="37">
        <is>
          <t xml:space="preserve">Monthly growth in new customers · New customers · Paying customers · Optimistic · Optimistic · Optimistic</t>
        </is>
      </c>
      <c r="B352" s="8">
        <f>0.32</f>
        <v>0.32</v>
      </c>
    </row>
    <row r="353">
      <c r="A353" t="inlineStr" s="37">
        <is>
          <t xml:space="preserve">Monthly growth in new customers · New customers · Paying customers · Conservative · Conservative · Conservative</t>
        </is>
      </c>
      <c r="B353" s="8">
        <f>0.15</f>
        <v>0.15</v>
      </c>
    </row>
    <row r="354">
      <c r="A354" t="inlineStr" s="37">
        <is>
          <t xml:space="preserve">New customers in launch month · New customers · Paying customers · Optimistic · Optimistic · Optimistic</t>
        </is>
      </c>
      <c r="B354" s="8">
        <f>5</f>
        <v>5</v>
      </c>
    </row>
    <row r="355">
      <c r="A355" t="inlineStr" s="37">
        <is>
          <t xml:space="preserve">New customers in launch month · New customers · Paying customers · Conservative · Conservative · Conservative</t>
        </is>
      </c>
      <c r="B355" s="8">
        <f>1.5</f>
        <v>1.5</v>
      </c>
    </row>
    <row r="356">
      <c r="A356" t="inlineStr" s="37">
        <is>
          <t xml:space="preserve">Sandbox cost per attempt · Sandbox cost per run · Sandbox compute cost · Optimistic · Optimistic · Optimistic</t>
        </is>
      </c>
      <c r="B356" s="8">
        <f>'Model inputs'!B386*'Model inputs'!B384</f>
        <v>0.06</v>
      </c>
    </row>
    <row r="357">
      <c r="A357" t="inlineStr" s="37">
        <is>
          <t xml:space="preserve">Sandbox cost per attempt · Sandbox cost per run · Sandbox compute cost · Conservative · Conservative · Conservative</t>
        </is>
      </c>
      <c r="B357" s="8">
        <f>'Model inputs'!B387*'Model inputs'!B385</f>
        <v>0.06</v>
      </c>
    </row>
    <row r="358">
      <c r="A358" t="inlineStr" s="37">
        <is>
          <t xml:space="preserve">Monthly price</t>
        </is>
      </c>
      <c r="C358" s="6">
        <v>0</v>
      </c>
    </row>
    <row r="359" outlineLevel="1">
      <c r="A359" t="inlineStr" s="38">
        <is>
          <t xml:space="preserve">Monthly price &gt; Maintainer</t>
        </is>
      </c>
      <c r="C359" s="8">
        <f>'Torque Assumptions · Tier prici'!B5</f>
        <v>29</v>
      </c>
    </row>
    <row r="360" outlineLevel="1">
      <c r="A360" t="inlineStr" s="38">
        <is>
          <t xml:space="preserve">Monthly price &gt; Starter</t>
        </is>
      </c>
      <c r="C360" s="8">
        <f>'Torque Assumptions · Tier prici'!B6</f>
        <v>99</v>
      </c>
    </row>
    <row r="361" outlineLevel="1">
      <c r="A361" t="inlineStr" s="38">
        <is>
          <t xml:space="preserve">Monthly price &gt; Team</t>
        </is>
      </c>
      <c r="C361" s="8">
        <f>'Torque Assumptions · Tier prici'!B7</f>
        <v>399</v>
      </c>
    </row>
    <row r="362">
      <c r="A362" t="inlineStr" s="37">
        <is>
          <t xml:space="preserve">Overage price per run</t>
        </is>
      </c>
      <c r="C362" s="6">
        <v>0</v>
      </c>
    </row>
    <row r="363" outlineLevel="1">
      <c r="A363" t="inlineStr" s="38">
        <is>
          <t xml:space="preserve">Overage price per run &gt; Maintainer</t>
        </is>
      </c>
      <c r="C363" s="8">
        <f>'Torque Assumptions · Tier prici'!D5</f>
        <v>2.5</v>
      </c>
    </row>
    <row r="364" outlineLevel="1">
      <c r="A364" t="inlineStr" s="38">
        <is>
          <t xml:space="preserve">Overage price per run &gt; Starter</t>
        </is>
      </c>
      <c r="C364" s="8">
        <f>'Torque Assumptions · Tier prici'!D6</f>
        <v>2.25</v>
      </c>
    </row>
    <row r="365" outlineLevel="1">
      <c r="A365" t="inlineStr" s="38">
        <is>
          <t xml:space="preserve">Overage price per run &gt; Team</t>
        </is>
      </c>
      <c r="C365" s="8">
        <f>'Torque Assumptions · Tier prici'!D7</f>
        <v>2</v>
      </c>
    </row>
    <row r="366">
      <c r="A366" t="inlineStr" s="37">
        <is>
          <t xml:space="preserve">Overage runs per customer</t>
        </is>
      </c>
      <c r="C366" s="6">
        <v>0</v>
      </c>
    </row>
    <row r="367" outlineLevel="1">
      <c r="A367" t="inlineStr" s="38">
        <is>
          <t xml:space="preserve">Overage runs per customer &gt; Maintainer</t>
        </is>
      </c>
      <c r="C367" s="8">
        <f>'Torque Assumptions · Tier prici'!F5</f>
        <v>0.5</v>
      </c>
    </row>
    <row r="368" outlineLevel="1">
      <c r="A368" t="inlineStr" s="38">
        <is>
          <t xml:space="preserve">Overage runs per customer &gt; Starter</t>
        </is>
      </c>
      <c r="C368" s="8">
        <f>'Torque Assumptions · Tier prici'!F6</f>
        <v>3</v>
      </c>
    </row>
    <row r="369" outlineLevel="1">
      <c r="A369" t="inlineStr" s="38">
        <is>
          <t xml:space="preserve">Overage runs per customer &gt; Team</t>
        </is>
      </c>
      <c r="C369" s="8">
        <f>'Torque Assumptions · Tier prici'!F7</f>
        <v>15</v>
      </c>
    </row>
    <row r="370">
      <c r="A370" t="inlineStr" s="37">
        <is>
          <t xml:space="preserve">Average recovery retries per run · LLM cost per run · LLM token cost · Optimistic · Optimistic · Optimistic</t>
        </is>
      </c>
      <c r="B370" s="8">
        <f>0.4</f>
        <v>0.4</v>
      </c>
    </row>
    <row r="371">
      <c r="A371" t="inlineStr" s="37">
        <is>
          <t xml:space="preserve">Average recovery retries per run · LLM cost per run · LLM token cost · Conservative · Conservative · Conservative</t>
        </is>
      </c>
      <c r="B371" s="8">
        <f>0.9</f>
        <v>0.9</v>
      </c>
    </row>
    <row r="372">
      <c r="A372" t="inlineStr" s="37">
        <is>
          <t xml:space="preserve">Input token price per 1M · LLM cost per run · LLM token cost · Optimistic · Optimistic · Optimistic</t>
        </is>
      </c>
      <c r="B372" s="8">
        <f>'Torque Assumptions · Run cost a'!B7</f>
        <v>3</v>
      </c>
    </row>
    <row r="373">
      <c r="A373" t="inlineStr" s="37">
        <is>
          <t xml:space="preserve">Input token price per 1M · LLM cost per run · LLM token cost · Conservative · Conservative · Conservative</t>
        </is>
      </c>
      <c r="B373" s="8">
        <f>'Torque Assumptions · Run cost a'!B7</f>
        <v>3</v>
      </c>
    </row>
    <row r="374">
      <c r="A374" t="inlineStr" s="37">
        <is>
          <t xml:space="preserve">Input tokens per attempt · LLM cost per run · LLM token cost · Optimistic · Optimistic · Optimistic</t>
        </is>
      </c>
      <c r="B374" s="8">
        <f>120000</f>
        <v>120000</v>
      </c>
    </row>
    <row r="375">
      <c r="A375" t="inlineStr" s="37">
        <is>
          <t xml:space="preserve">Input tokens per attempt · LLM cost per run · LLM token cost · Conservative · Conservative · Conservative</t>
        </is>
      </c>
      <c r="B375" s="8">
        <f>200000</f>
        <v>200000</v>
      </c>
    </row>
    <row r="376">
      <c r="A376" t="inlineStr" s="37">
        <is>
          <t xml:space="preserve">Output token price per 1M · LLM cost per run · LLM token cost · Optimistic · Optimistic · Optimistic</t>
        </is>
      </c>
      <c r="B376" s="8">
        <f>'Torque Assumptions · Run cost a'!B8</f>
        <v>15</v>
      </c>
    </row>
    <row r="377">
      <c r="A377" t="inlineStr" s="37">
        <is>
          <t xml:space="preserve">Output token price per 1M · LLM cost per run · LLM token cost · Conservative · Conservative · Conservative</t>
        </is>
      </c>
      <c r="B377" s="8">
        <f>'Torque Assumptions · Run cost a'!B8</f>
        <v>15</v>
      </c>
    </row>
    <row r="378">
      <c r="A378" t="inlineStr" s="37">
        <is>
          <t xml:space="preserve">Output tokens per attempt · LLM cost per run · LLM token cost · Optimistic · Optimistic · Optimistic</t>
        </is>
      </c>
      <c r="B378" s="8">
        <f>'Torque Assumptions · Run cost a'!B6</f>
        <v>20000</v>
      </c>
    </row>
    <row r="379">
      <c r="A379" t="inlineStr" s="37">
        <is>
          <t xml:space="preserve">Output tokens per attempt · LLM cost per run · LLM token cost · Conservative · Conservative · Conservative</t>
        </is>
      </c>
      <c r="B379" s="8">
        <f>'Torque Assumptions · Run cost a'!B6</f>
        <v>20000</v>
      </c>
    </row>
    <row r="380">
      <c r="A380" t="inlineStr" s="37">
        <is>
          <t xml:space="preserve">Retry cost vs first attempt · LLM cost per run · LLM token cost · Optimistic · Optimistic · Optimistic</t>
        </is>
      </c>
      <c r="B380" s="8">
        <f>'Torque Assumptions · Run cost a'!B11</f>
        <v>0.5</v>
      </c>
    </row>
    <row r="381">
      <c r="A381" t="inlineStr" s="37">
        <is>
          <t xml:space="preserve">Retry cost vs first attempt · LLM cost per run · LLM token cost · Conservative · Conservative · Conservative</t>
        </is>
      </c>
      <c r="B381" s="8">
        <f>'Torque Assumptions · Run cost a'!B11</f>
        <v>0.5</v>
      </c>
    </row>
    <row r="382">
      <c r="A382" t="inlineStr" s="37">
        <is>
          <t xml:space="preserve">Retry limit per run · LLM cost per run · LLM token cost · Optimistic · Optimistic · Optimistic</t>
        </is>
      </c>
      <c r="B382" s="8">
        <f>'Torque Assumptions · Run cost a'!B10</f>
        <v>2</v>
      </c>
    </row>
    <row r="383">
      <c r="A383" t="inlineStr" s="37">
        <is>
          <t xml:space="preserve">Retry limit per run · LLM cost per run · LLM token cost · Conservative · Conservative · Conservative</t>
        </is>
      </c>
      <c r="B383" s="8">
        <f>'Torque Assumptions · Run cost a'!B10</f>
        <v>2</v>
      </c>
    </row>
    <row r="384">
      <c r="A384" t="inlineStr" s="37">
        <is>
          <t xml:space="preserve">Sandbox cost per minute · Sandbox cost per run · Sandbox compute cost · Optimistic · Optimistic · Optimistic</t>
        </is>
      </c>
      <c r="B384" s="8">
        <f>'Torque Assumptions · Run cost a'!B13</f>
        <v>0.004</v>
      </c>
    </row>
    <row r="385">
      <c r="A385" t="inlineStr" s="37">
        <is>
          <t xml:space="preserve">Sandbox cost per minute · Sandbox cost per run · Sandbox compute cost · Conservative · Conservative · Conservative</t>
        </is>
      </c>
      <c r="B385" s="8">
        <f>'Torque Assumptions · Run cost a'!B13</f>
        <v>0.004</v>
      </c>
    </row>
    <row r="386">
      <c r="A386" t="inlineStr" s="37">
        <is>
          <t xml:space="preserve">Sandbox minutes per attempt · Sandbox cost per run · Sandbox compute cost · Optimistic · Optimistic · Optimistic</t>
        </is>
      </c>
      <c r="B386" s="8">
        <f>'Torque Assumptions · Run cost a'!B12</f>
        <v>15</v>
      </c>
    </row>
    <row r="387">
      <c r="A387" t="inlineStr" s="37">
        <is>
          <t xml:space="preserve">Sandbox minutes per attempt · Sandbox cost per run · Sandbox compute cost · Conservative · Conservative · Conservative</t>
        </is>
      </c>
      <c r="B387" s="8">
        <f>'Torque Assumptions · Run cost a'!B12</f>
        <v>15</v>
      </c>
    </row>
    <row r="389">
      <c r="A389" t="inlineStr" s="36">
        <is>
          <t xml:space="preserve">Dimensions</t>
        </is>
      </c>
    </row>
    <row r="390">
      <c r="A390" t="inlineStr" s="37">
        <is>
          <t xml:space="preserve">Plan tier</t>
        </is>
      </c>
      <c r="B390" t="inlineStr" s="39">
        <is>
          <t xml:space="preserve">Maintainer</t>
        </is>
      </c>
      <c r="C390" t="inlineStr" s="39">
        <is>
          <t xml:space="preserve">Starter</t>
        </is>
      </c>
      <c r="D390" t="inlineStr" s="39">
        <is>
          <t xml:space="preserve">Team</t>
        </is>
      </c>
    </row>
  </sheetData>
  <mergeCells count="2">
    <mergeCell ref="A1:X1"/>
    <mergeCell ref="A2:X2"/>
  </mergeCells>
</worksheet>
</file>